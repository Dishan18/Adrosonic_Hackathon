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5440" windowHeight="15390" tabRatio="697" firstSheet="3" activeTab="3" autoFilterDateGrouping="1"/>
  </bookViews>
  <sheets>
    <sheet name="Summary" sheetId="1" state="visible" r:id="rId1"/>
    <sheet name="YOY Comparison" sheetId="2" state="visible" r:id="rId2"/>
    <sheet name="Locations" sheetId="3" state="visible" r:id="rId3"/>
    <sheet name="Glossary" sheetId="4" state="visible" r:id="rId4"/>
    <sheet name="Confidentiality" sheetId="5" state="visible" r:id="rId5"/>
    <sheet name="Vendor Disclaimers" sheetId="6" state="visible" r:id="rId6"/>
    <sheet name="Original from Client A" sheetId="7" state="visible" r:id="rId7"/>
  </sheets>
  <definedNames>
    <definedName name="__uso2">#REF!</definedName>
    <definedName name="_DAT1">#REF!</definedName>
    <definedName name="_DAT10">#REF!</definedName>
    <definedName name="_dat101">#REF!</definedName>
    <definedName name="_DAT10a">#REF!</definedName>
    <definedName name="_DAT11">#REF!</definedName>
    <definedName name="_DAT12">#REF!</definedName>
    <definedName name="_DAT13">#REF!</definedName>
    <definedName name="_DAT14">#REF!</definedName>
    <definedName name="_DAT15">#REF!</definedName>
    <definedName name="_DAT16">#REF!</definedName>
    <definedName name="_DAT18">#REF!</definedName>
    <definedName name="_DAT1a">#REF!</definedName>
    <definedName name="_DAT2">#REF!</definedName>
    <definedName name="_DAT21">#REF!</definedName>
    <definedName name="_DAT22">#REF!</definedName>
    <definedName name="_DAT23">#REF!</definedName>
    <definedName name="_DAT24">#REF!</definedName>
    <definedName name="_DAT25">#REF!</definedName>
    <definedName name="_DAT27">#REF!</definedName>
    <definedName name="_DAT28">#REF!</definedName>
    <definedName name="_DAT29">#REF!</definedName>
    <definedName name="_DAT3">#REF!</definedName>
    <definedName name="_DAT30">#REF!</definedName>
    <definedName name="_DAT32">#REF!</definedName>
    <definedName name="_DAT33">#REF!</definedName>
    <definedName name="_DAT34">#REF!</definedName>
    <definedName name="_DAT4">#REF!</definedName>
    <definedName name="_DAT5">#REF!</definedName>
    <definedName name="_DAT6">#REF!</definedName>
    <definedName name="_DAT7">#REF!</definedName>
    <definedName name="_DAT8">#REF!</definedName>
    <definedName name="_DAT9">#REF!</definedName>
    <definedName name="_Order1" hidden="1">255</definedName>
    <definedName name="_uso2">#REF!</definedName>
    <definedName name="_uso3">#REF!</definedName>
    <definedName name="a" hidden="1">{#N/A,#N/A,FALSE,"gr-fasa";#N/A,#N/A,FALSE,"gr-FCSA";#N/A,#N/A,FALSE,"gr-BASA";#N/A,#N/A,FALSE,"gr-FVSA"}</definedName>
    <definedName name="aa" hidden="1">{#N/A,#N/A,FALSE,"gr-fasa";#N/A,#N/A,FALSE,"gr-FCSA";#N/A,#N/A,FALSE,"gr-BASA";#N/A,#N/A,FALSE,"gr-FVSA"}</definedName>
    <definedName name="asda_2">#REF!</definedName>
    <definedName name="bvbc">#REF!</definedName>
    <definedName name="bvbca">#REF!</definedName>
    <definedName name="bvcxbvx">#REF!</definedName>
    <definedName name="bvcxbvxa">#REF!</definedName>
    <definedName name="bvxcbdrf">#REF!</definedName>
    <definedName name="dasda_8">#REF!</definedName>
    <definedName name="_xlnm.Database">#REF!</definedName>
    <definedName name="Databasex">#REF!</definedName>
    <definedName name="dfsa">#REF!</definedName>
    <definedName name="dfsaq">#REF!</definedName>
    <definedName name="dfsf">#REF!</definedName>
    <definedName name="dsfsf">#REF!</definedName>
    <definedName name="esrtfdgfg">#REF!</definedName>
    <definedName name="ewqq">#REF!</definedName>
    <definedName name="ewrr">#REF!</definedName>
    <definedName name="fdsfsd_45">#REF!</definedName>
    <definedName name="felpe">#REF!</definedName>
    <definedName name="fhfgh_0">#REF!</definedName>
    <definedName name="fhjgh_6875">#REF!</definedName>
    <definedName name="fsdfs_867">#REF!</definedName>
    <definedName name="fserw">#REF!</definedName>
    <definedName name="fsfery">#REF!</definedName>
    <definedName name="fsfsd">#REF!</definedName>
    <definedName name="gdfd_0">#REF!</definedName>
    <definedName name="gfd">#REF!</definedName>
    <definedName name="gfdgd">#REF!</definedName>
    <definedName name="gfdgfd_87">#REF!</definedName>
    <definedName name="gfrg">#REF!</definedName>
    <definedName name="gfxhx_09">#REF!</definedName>
    <definedName name="goui">#REF!</definedName>
    <definedName name="hfswe">#REF!</definedName>
    <definedName name="hgfa">#REF!</definedName>
    <definedName name="hgjg_0">#REF!</definedName>
    <definedName name="HistorialGastos">#REF!</definedName>
    <definedName name="HistorialNroReclamos">#REF!</definedName>
    <definedName name="HistorialPagado">#REF!</definedName>
    <definedName name="HistorialPendiente">#REF!</definedName>
    <definedName name="HistorialPrima">#REF!</definedName>
    <definedName name="HistorialTIV">#REF!</definedName>
    <definedName name="HistorialVigencia">#REF!</definedName>
    <definedName name="htr">#REF!</definedName>
    <definedName name="iuds">#REF!</definedName>
    <definedName name="iyuf">#REF!</definedName>
    <definedName name="jh">#REF!</definedName>
    <definedName name="jli">#REF!</definedName>
    <definedName name="jmuf">#REF!</definedName>
    <definedName name="josef_3234">#REF!</definedName>
    <definedName name="LloydsScale">#REF!</definedName>
    <definedName name="m" hidden="1">{#N/A,#N/A,FALSE,"gr-fasa";#N/A,#N/A,FALSE,"gr-FCSA";#N/A,#N/A,FALSE,"gr-BASA";#N/A,#N/A,FALSE,"gr-FVSA"}</definedName>
    <definedName name="mbnmb">#REF!</definedName>
    <definedName name="mss">#REF!</definedName>
    <definedName name="mtg">#REF!</definedName>
    <definedName name="ncvn">#REF!</definedName>
    <definedName name="oiu">#REF!</definedName>
    <definedName name="ouhi">#REF!</definedName>
    <definedName name="ouio">#REF!</definedName>
    <definedName name="ouyio">#REF!</definedName>
    <definedName name="piodf">#REF!</definedName>
    <definedName name="resumen">#REF!</definedName>
    <definedName name="rgtgf">#REF!</definedName>
    <definedName name="rtetr">#REF!</definedName>
    <definedName name="sdf">#REF!</definedName>
    <definedName name="sers">#REF!</definedName>
    <definedName name="serv.exter" hidden="1">{#N/A,#N/A,FALSE,"FASA";#N/A,#N/A,FALSE,"FASA2";#N/A,#N/A,FALSE,"BASA";#N/A,#N/A,FALSE,"BASA2";#N/A,#N/A,FALSE,"FVSA";#N/A,#N/A,FALSE,"FVSA2";#N/A,#N/A,FALSE,"fcsa";#N/A,#N/A,FALSE,"fcsa2"}</definedName>
    <definedName name="sfdsfs">#REF!</definedName>
    <definedName name="srsfr">#REF!</definedName>
    <definedName name="tas_654546">#REF!</definedName>
    <definedName name="Tasa_1998">#REF!</definedName>
    <definedName name="Tasa_1999">#REF!</definedName>
    <definedName name="Tasa_2000">#REF!</definedName>
    <definedName name="tasa_2001">#REF!</definedName>
    <definedName name="ters">#REF!</definedName>
    <definedName name="TEST0">#REF!</definedName>
    <definedName name="TEST1">#REF!</definedName>
    <definedName name="TEST10">#REF!</definedName>
    <definedName name="test1003">#REF!</definedName>
    <definedName name="TEST11">#REF!</definedName>
    <definedName name="TEST12">#REF!</definedName>
    <definedName name="TEST13">#REF!</definedName>
    <definedName name="TEST14">#REF!</definedName>
    <definedName name="TEST15">#REF!</definedName>
    <definedName name="test16156">#REF!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99999">#REF!</definedName>
    <definedName name="TESTHKEY">#REF!</definedName>
    <definedName name="TESTKEYS">#REF!</definedName>
    <definedName name="TESTVKEY">#REF!</definedName>
    <definedName name="tetd_8747">#REF!</definedName>
    <definedName name="trsy">#REF!</definedName>
    <definedName name="tsert">#REF!</definedName>
    <definedName name="tset652626">#REF!</definedName>
    <definedName name="tsets161">#REF!</definedName>
    <definedName name="utyt">#REF!</definedName>
    <definedName name="utytyut">#REF!</definedName>
    <definedName name="uytur">#REF!</definedName>
    <definedName name="uytut">#REF!</definedName>
    <definedName name="vbcbc">#REF!</definedName>
    <definedName name="vcvxv">#REF!</definedName>
    <definedName name="veovd">#REF!</definedName>
    <definedName name="vgh">#REF!</definedName>
    <definedName name="wrjkm">#REF!</definedName>
    <definedName name="wrn.cuadros." hidden="1">{#N/A,#N/A,FALSE,"FASA";#N/A,#N/A,FALSE,"FASA2";#N/A,#N/A,FALSE,"BASA";#N/A,#N/A,FALSE,"BASA2";#N/A,#N/A,FALSE,"FVSA";#N/A,#N/A,FALSE,"FVSA2";#N/A,#N/A,FALSE,"fcsa";#N/A,#N/A,FALSE,"fcsa2"}</definedName>
    <definedName name="wrn.graficos." hidden="1">{#N/A,#N/A,FALSE,"gr-fasa";#N/A,#N/A,FALSE,"gr-FCSA";#N/A,#N/A,FALSE,"gr-BASA";#N/A,#N/A,FALSE,"gr-FVSA"}</definedName>
    <definedName name="wrn.Paneles." hidden="1">{#N/A,#N/A,FALSE,"EERR";#N/A,#N/A,FALSE,"EOAF";#N/A,#N/A,FALSE,"MARG LOCAL";#N/A,#N/A,FALSE,"MARG MERCO"}</definedName>
    <definedName name="yeye_54">#REF!</definedName>
    <definedName name="yhsrtrt">#REF!</definedName>
    <definedName name="yms">#REF!</definedName>
    <definedName name="yrdgfv">#REF!</definedName>
    <definedName name="ysrh">#REF!</definedName>
    <definedName name="ytsr">#REF!</definedName>
    <definedName name="yuiivfv">#REF!</definedName>
    <definedName name="yukf">#REF!</definedName>
    <definedName name="yutut">#REF!</definedName>
    <definedName name="_xlnm._FilterDatabase" localSheetId="2" hidden="1">'Locations'!$B$6:$R$40</definedName>
    <definedName name="__uso2" localSheetId="6">#REF!</definedName>
    <definedName name="_DAT1" localSheetId="6">#REF!</definedName>
    <definedName name="_DAT10" localSheetId="6">#REF!</definedName>
    <definedName name="_dat101" localSheetId="6">#REF!</definedName>
    <definedName name="_DAT11" localSheetId="6">#REF!</definedName>
    <definedName name="_DAT12" localSheetId="6">#REF!</definedName>
    <definedName name="_DAT13" localSheetId="6">#REF!</definedName>
    <definedName name="_DAT14" localSheetId="6">#REF!</definedName>
    <definedName name="_DAT15" localSheetId="6">#REF!</definedName>
    <definedName name="_DAT16" localSheetId="6">#REF!</definedName>
    <definedName name="_DAT18" localSheetId="6">#REF!</definedName>
    <definedName name="_DAT2" localSheetId="6">#REF!</definedName>
    <definedName name="_DAT21" localSheetId="6">#REF!</definedName>
    <definedName name="_DAT22" localSheetId="6">#REF!</definedName>
    <definedName name="_DAT23" localSheetId="6">#REF!</definedName>
    <definedName name="_DAT24" localSheetId="6">#REF!</definedName>
    <definedName name="_DAT25" localSheetId="6">#REF!</definedName>
    <definedName name="_DAT27" localSheetId="6">#REF!</definedName>
    <definedName name="_DAT28" localSheetId="6">#REF!</definedName>
    <definedName name="_DAT29" localSheetId="6">#REF!</definedName>
    <definedName name="_DAT3" localSheetId="6">#REF!</definedName>
    <definedName name="_DAT30" localSheetId="6">#REF!</definedName>
    <definedName name="_DAT32" localSheetId="6">#REF!</definedName>
    <definedName name="_DAT33" localSheetId="6">#REF!</definedName>
    <definedName name="_DAT34" localSheetId="6">#REF!</definedName>
    <definedName name="_DAT4" localSheetId="6">#REF!</definedName>
    <definedName name="_DAT5" localSheetId="6">#REF!</definedName>
    <definedName name="_DAT6" localSheetId="6">#REF!</definedName>
    <definedName name="_DAT7" localSheetId="6">#REF!</definedName>
    <definedName name="_DAT8" localSheetId="6">#REF!</definedName>
    <definedName name="_DAT9" localSheetId="6">#REF!</definedName>
    <definedName name="_uso2" localSheetId="6">#REF!</definedName>
    <definedName name="a" localSheetId="6" hidden="1">{#N/A,#N/A,FALSE,"gr-fasa";#N/A,#N/A,FALSE,"gr-FCSA";#N/A,#N/A,FALSE,"gr-BASA";#N/A,#N/A,FALSE,"gr-FVSA"}</definedName>
    <definedName name="asda_2" localSheetId="6">#REF!</definedName>
    <definedName name="bvbc" localSheetId="6">#REF!</definedName>
    <definedName name="bvcxbvx" localSheetId="6">#REF!</definedName>
    <definedName name="bvxcbdrf" localSheetId="6">#REF!</definedName>
    <definedName name="dasda_8" localSheetId="6">#REF!</definedName>
    <definedName name="_xlnm.Database" localSheetId="6">#REF!</definedName>
    <definedName name="dfsa" localSheetId="6">#REF!</definedName>
    <definedName name="dfsf" localSheetId="6">#REF!</definedName>
    <definedName name="dsfsf" localSheetId="6">#REF!</definedName>
    <definedName name="esrtfdgfg" localSheetId="6">#REF!</definedName>
    <definedName name="ewqq" localSheetId="6">#REF!</definedName>
    <definedName name="ewrr" localSheetId="6">#REF!</definedName>
    <definedName name="fdsfsd_45" localSheetId="6">#REF!</definedName>
    <definedName name="felpe" localSheetId="6">#REF!</definedName>
    <definedName name="fhfgh_0" localSheetId="6">#REF!</definedName>
    <definedName name="fhjgh_6875" localSheetId="6">#REF!</definedName>
    <definedName name="fsdfs_867" localSheetId="6">#REF!</definedName>
    <definedName name="fserw" localSheetId="6">#REF!</definedName>
    <definedName name="fsfery" localSheetId="6">#REF!</definedName>
    <definedName name="fsfsd" localSheetId="6">#REF!</definedName>
    <definedName name="gdfd_0" localSheetId="6">#REF!</definedName>
    <definedName name="gfd" localSheetId="6">#REF!</definedName>
    <definedName name="gfdgd" localSheetId="6">#REF!</definedName>
    <definedName name="gfdgfd_87" localSheetId="6">#REF!</definedName>
    <definedName name="gfrg" localSheetId="6">#REF!</definedName>
    <definedName name="gfxhx_09" localSheetId="6">#REF!</definedName>
    <definedName name="goui" localSheetId="6">#REF!</definedName>
    <definedName name="hfswe" localSheetId="6">#REF!</definedName>
    <definedName name="hgfa" localSheetId="6">#REF!</definedName>
    <definedName name="hgjg_0" localSheetId="6">#REF!</definedName>
    <definedName name="HistorialGastos" localSheetId="6">#REF!</definedName>
    <definedName name="HistorialNroReclamos" localSheetId="6">#REF!</definedName>
    <definedName name="HistorialPagado" localSheetId="6">#REF!</definedName>
    <definedName name="HistorialPendiente" localSheetId="6">#REF!</definedName>
    <definedName name="HistorialPrima" localSheetId="6">#REF!</definedName>
    <definedName name="HistorialTIV" localSheetId="6">#REF!</definedName>
    <definedName name="HistorialVigencia" localSheetId="6">#REF!</definedName>
    <definedName name="htr" localSheetId="6">#REF!</definedName>
    <definedName name="iuds" localSheetId="6">#REF!</definedName>
    <definedName name="iyuf" localSheetId="6">#REF!</definedName>
    <definedName name="jh" localSheetId="6">#REF!</definedName>
    <definedName name="jli" localSheetId="6">#REF!</definedName>
    <definedName name="jmuf" localSheetId="6">#REF!</definedName>
    <definedName name="josef_3234" localSheetId="6">#REF!</definedName>
    <definedName name="LloydsScale" localSheetId="6">#REF!</definedName>
    <definedName name="m" localSheetId="6" hidden="1">{#N/A,#N/A,FALSE,"gr-fasa";#N/A,#N/A,FALSE,"gr-FCSA";#N/A,#N/A,FALSE,"gr-BASA";#N/A,#N/A,FALSE,"gr-FVSA"}</definedName>
    <definedName name="mbnmb" localSheetId="6">#REF!</definedName>
    <definedName name="mss" localSheetId="6">#REF!</definedName>
    <definedName name="mtg" localSheetId="6">#REF!</definedName>
    <definedName name="ncvn" localSheetId="6">#REF!</definedName>
    <definedName name="oiu" localSheetId="6">#REF!</definedName>
    <definedName name="ouhi" localSheetId="6">#REF!</definedName>
    <definedName name="ouio" localSheetId="6">#REF!</definedName>
    <definedName name="ouyio" localSheetId="6">#REF!</definedName>
    <definedName name="piodf" localSheetId="6">#REF!</definedName>
    <definedName name="resumen" localSheetId="6">#REF!</definedName>
    <definedName name="rgtgf" localSheetId="6">#REF!</definedName>
    <definedName name="rtetr" localSheetId="6">#REF!</definedName>
    <definedName name="sdf" localSheetId="6">#REF!</definedName>
    <definedName name="sers" localSheetId="6">#REF!</definedName>
    <definedName name="serv.exter" localSheetId="6" hidden="1">{#N/A,#N/A,FALSE,"FASA";#N/A,#N/A,FALSE,"FASA2";#N/A,#N/A,FALSE,"BASA";#N/A,#N/A,FALSE,"BASA2";#N/A,#N/A,FALSE,"FVSA";#N/A,#N/A,FALSE,"FVSA2";#N/A,#N/A,FALSE,"fcsa";#N/A,#N/A,FALSE,"fcsa2"}</definedName>
    <definedName name="sfdsfs" localSheetId="6">#REF!</definedName>
    <definedName name="srsfr" localSheetId="6">#REF!</definedName>
    <definedName name="tas_654546" localSheetId="6">#REF!</definedName>
    <definedName name="Tasa_1998" localSheetId="6">#REF!</definedName>
    <definedName name="Tasa_1999" localSheetId="6">#REF!</definedName>
    <definedName name="Tasa_2000" localSheetId="6">#REF!</definedName>
    <definedName name="tasa_2001" localSheetId="6">#REF!</definedName>
    <definedName name="ters" localSheetId="6">#REF!</definedName>
    <definedName name="TEST0" localSheetId="6">#REF!</definedName>
    <definedName name="TEST1" localSheetId="6">#REF!</definedName>
    <definedName name="TEST10" localSheetId="6">#REF!</definedName>
    <definedName name="test1003" localSheetId="6">#REF!</definedName>
    <definedName name="TEST11" localSheetId="6">#REF!</definedName>
    <definedName name="TEST12" localSheetId="6">#REF!</definedName>
    <definedName name="TEST13" localSheetId="6">#REF!</definedName>
    <definedName name="TEST14" localSheetId="6">#REF!</definedName>
    <definedName name="TEST15" localSheetId="6">#REF!</definedName>
    <definedName name="test16156" localSheetId="6">#REF!</definedName>
    <definedName name="TEST2" localSheetId="6">#REF!</definedName>
    <definedName name="TEST3" localSheetId="6">#REF!</definedName>
    <definedName name="TEST4" localSheetId="6">#REF!</definedName>
    <definedName name="TEST5" localSheetId="6">#REF!</definedName>
    <definedName name="TEST6" localSheetId="6">#REF!</definedName>
    <definedName name="TEST7" localSheetId="6">#REF!</definedName>
    <definedName name="TEST8" localSheetId="6">#REF!</definedName>
    <definedName name="TEST9" localSheetId="6">#REF!</definedName>
    <definedName name="test99999" localSheetId="6">#REF!</definedName>
    <definedName name="TESTHKEY" localSheetId="6">#REF!</definedName>
    <definedName name="TESTKEYS" localSheetId="6">#REF!</definedName>
    <definedName name="TESTVKEY" localSheetId="6">#REF!</definedName>
    <definedName name="tetd_8747" localSheetId="6">#REF!</definedName>
    <definedName name="trsy" localSheetId="6">#REF!</definedName>
    <definedName name="tsert" localSheetId="6">#REF!</definedName>
    <definedName name="tset652626" localSheetId="6">#REF!</definedName>
    <definedName name="tsets161" localSheetId="6">#REF!</definedName>
    <definedName name="utyt" localSheetId="6">#REF!</definedName>
    <definedName name="utytyut" localSheetId="6">#REF!</definedName>
    <definedName name="uytur" localSheetId="6">#REF!</definedName>
    <definedName name="uytut" localSheetId="6">#REF!</definedName>
    <definedName name="vbcbc" localSheetId="6">#REF!</definedName>
    <definedName name="vcvxv" localSheetId="6">#REF!</definedName>
    <definedName name="veovd" localSheetId="6">#REF!</definedName>
    <definedName name="vgh" localSheetId="6">#REF!</definedName>
    <definedName name="wrjkm" localSheetId="6">#REF!</definedName>
    <definedName name="wrn.cuadros." localSheetId="6" hidden="1">{#N/A,#N/A,FALSE,"FASA";#N/A,#N/A,FALSE,"FASA2";#N/A,#N/A,FALSE,"BASA";#N/A,#N/A,FALSE,"BASA2";#N/A,#N/A,FALSE,"FVSA";#N/A,#N/A,FALSE,"FVSA2";#N/A,#N/A,FALSE,"fcsa";#N/A,#N/A,FALSE,"fcsa2"}</definedName>
    <definedName name="wrn.graficos." localSheetId="6" hidden="1">{#N/A,#N/A,FALSE,"gr-fasa";#N/A,#N/A,FALSE,"gr-FCSA";#N/A,#N/A,FALSE,"gr-BASA";#N/A,#N/A,FALSE,"gr-FVSA"}</definedName>
    <definedName name="wrn.Paneles." localSheetId="6" hidden="1">{#N/A,#N/A,FALSE,"EERR";#N/A,#N/A,FALSE,"EOAF";#N/A,#N/A,FALSE,"MARG LOCAL";#N/A,#N/A,FALSE,"MARG MERCO"}</definedName>
    <definedName name="yeye_54" localSheetId="6">#REF!</definedName>
    <definedName name="yhsrtrt" localSheetId="6">#REF!</definedName>
    <definedName name="yms" localSheetId="6">#REF!</definedName>
    <definedName name="yrdgfv" localSheetId="6">#REF!</definedName>
    <definedName name="ysrh" localSheetId="6">#REF!</definedName>
    <definedName name="ytsr" localSheetId="6">#REF!</definedName>
    <definedName name="yuiivfv" localSheetId="6">#REF!</definedName>
    <definedName name="yukf" localSheetId="6">#REF!</definedName>
    <definedName name="yutut" localSheetId="6">#REF!</definedName>
  </definedNames>
  <calcPr calcId="191028" fullCalcOnLoad="1"/>
</workbook>
</file>

<file path=xl/styles.xml><?xml version="1.0" encoding="utf-8"?>
<styleSheet xmlns="http://schemas.openxmlformats.org/spreadsheetml/2006/main">
  <numFmts count="9">
    <numFmt numFmtId="164" formatCode="0.000000"/>
    <numFmt numFmtId="165" formatCode="_(* #,##0_);_(* \(#,##0\);_(* &quot;-&quot;??_);_(@_)"/>
    <numFmt numFmtId="166" formatCode="_-* #,##0_-;\-* #,##0_-;_-* &quot;-&quot;??_-;_-@_-"/>
    <numFmt numFmtId="167" formatCode="_-* #,##0.00_-;\-* #,##0.00_-;_-* &quot;-&quot;??_-;_-@_-"/>
    <numFmt numFmtId="168" formatCode="_-* #,##0_-;\-* #,##0_-;_-* &quot;-&quot;_-;_-@_-"/>
    <numFmt numFmtId="169" formatCode="_ * #,##0_ ;_ * \-#,##0_ ;_ * &quot;-&quot;_ ;_ @_ "/>
    <numFmt numFmtId="170" formatCode="0.000"/>
    <numFmt numFmtId="171" formatCode="_ * #,##0.00_ ;_ * \-#,##0.00_ ;_ * &quot;-&quot;??_ ;_ @_ "/>
    <numFmt numFmtId="172" formatCode="_-&quot;$&quot;\ * #,##0.00_-;\-&quot;$&quot;\ * #,##0.00_-;_-&quot;$&quot;\ * &quot;-&quot;??_-;_-@_-"/>
  </numFmts>
  <fonts count="25">
    <font>
      <name val="Calibri"/>
      <family val="2"/>
      <color rgb="FF000000"/>
      <sz val="11"/>
      <scheme val="minor"/>
    </font>
    <font>
      <name val="Arial"/>
      <family val="2"/>
      <color theme="1"/>
      <sz val="10"/>
    </font>
    <font>
      <name val="Calibri"/>
      <family val="2"/>
      <sz val="11"/>
    </font>
    <font>
      <name val="Arial Black"/>
      <family val="2"/>
      <b val="1"/>
      <color rgb="FF000000"/>
      <sz val="10"/>
    </font>
    <font>
      <name val="Arial Black"/>
      <family val="2"/>
      <b val="1"/>
      <color rgb="FFFFFFFF"/>
      <sz val="10"/>
    </font>
    <font>
      <name val="Arial"/>
      <family val="2"/>
      <b val="1"/>
      <color rgb="FF000000"/>
      <sz val="10"/>
    </font>
    <font>
      <name val="Arial"/>
      <family val="2"/>
      <b val="1"/>
      <color rgb="FF702082"/>
      <sz val="20"/>
    </font>
    <font>
      <name val="Arial Narrow"/>
      <family val="2"/>
      <b val="1"/>
      <color rgb="FF000000"/>
      <sz val="7"/>
    </font>
    <font>
      <name val="Arial"/>
      <family val="2"/>
      <b val="1"/>
      <color rgb="FF702082"/>
      <sz val="12"/>
      <u val="single"/>
    </font>
    <font>
      <name val="Arial"/>
      <family val="2"/>
      <color rgb="FF000000"/>
      <sz val="10"/>
    </font>
    <font>
      <name val="Arial"/>
      <family val="2"/>
      <b val="1"/>
      <color rgb="FF702082"/>
      <sz val="10"/>
      <u val="single"/>
    </font>
    <font>
      <name val="Arial"/>
      <family val="2"/>
      <color rgb="FF0000FF"/>
      <sz val="10"/>
      <u val="single"/>
    </font>
    <font>
      <name val="Calibri"/>
      <family val="2"/>
      <color rgb="FF000000"/>
      <sz val="11"/>
      <scheme val="minor"/>
    </font>
    <font>
      <name val="Arial"/>
      <family val="2"/>
      <color rgb="FF333333"/>
      <sz val="10"/>
    </font>
    <font>
      <name val="Arial"/>
      <family val="2"/>
      <b val="1"/>
      <color theme="0"/>
      <sz val="10"/>
    </font>
    <font>
      <name val="Arial"/>
      <family val="2"/>
      <b val="1"/>
      <color theme="1"/>
      <sz val="10"/>
    </font>
    <font>
      <name val="Calibri"/>
      <family val="2"/>
      <color theme="1"/>
      <sz val="11"/>
    </font>
    <font>
      <name val="Calibri"/>
      <family val="2"/>
      <b val="1"/>
      <color theme="1"/>
      <sz val="11"/>
    </font>
    <font>
      <name val="Arial"/>
      <family val="2"/>
      <color theme="0" tint="-0.499984740745262"/>
      <sz val="10"/>
    </font>
    <font>
      <name val="Calibri"/>
      <family val="2"/>
      <b val="1"/>
      <color theme="0" tint="-0.499984740745262"/>
      <sz val="11"/>
    </font>
    <font>
      <name val="Calibri"/>
      <family val="2"/>
      <color theme="1"/>
      <sz val="11"/>
      <scheme val="minor"/>
    </font>
    <font>
      <name val="Arial"/>
      <family val="2"/>
      <b val="1"/>
      <color theme="0"/>
      <sz val="12"/>
    </font>
    <font>
      <name val="Arial"/>
      <family val="2"/>
      <sz val="10"/>
    </font>
    <font>
      <name val="Arial"/>
      <family val="2"/>
      <b val="1"/>
      <sz val="10"/>
    </font>
    <font>
      <name val="Arial"/>
      <family val="2"/>
      <b val="1"/>
      <color theme="1"/>
      <sz val="8"/>
    </font>
  </fonts>
  <fills count="13">
    <fill>
      <patternFill/>
    </fill>
    <fill>
      <patternFill patternType="gray125"/>
    </fill>
    <fill>
      <patternFill patternType="solid">
        <fgColor rgb="FF702082"/>
        <bgColor rgb="FF702082"/>
      </patternFill>
    </fill>
    <fill>
      <patternFill patternType="solid">
        <fgColor rgb="FFFFB81C"/>
        <bgColor rgb="FFFFB81C"/>
      </patternFill>
    </fill>
    <fill>
      <patternFill patternType="solid">
        <fgColor rgb="FF00A0D2"/>
        <bgColor rgb="FF00A0D2"/>
      </patternFill>
    </fill>
    <fill>
      <patternFill patternType="solid">
        <fgColor rgb="FFC110A0"/>
        <bgColor rgb="FFC110A0"/>
      </patternFill>
    </fill>
    <fill>
      <patternFill patternType="solid">
        <fgColor rgb="FFA983B6"/>
        <bgColor rgb="FFA983B6"/>
      </patternFill>
    </fill>
    <fill>
      <patternFill patternType="solid">
        <fgColor rgb="FFFFD891"/>
        <bgColor rgb="FFFFD891"/>
      </patternFill>
    </fill>
    <fill>
      <patternFill patternType="solid">
        <fgColor rgb="FF7DB4D5"/>
        <bgColor rgb="FF7DB4D5"/>
      </patternFill>
    </fill>
    <fill>
      <patternFill patternType="solid">
        <fgColor rgb="FFCB90BF"/>
        <bgColor rgb="FFCB90BF"/>
      </patternFill>
    </fill>
    <fill>
      <patternFill patternType="solid">
        <fgColor theme="0"/>
        <bgColor indexed="64"/>
      </patternFill>
    </fill>
    <fill>
      <patternFill patternType="solid">
        <fgColor theme="6" tint="-0.249977111117893"/>
        <bgColor indexed="64"/>
      </patternFill>
    </fill>
    <fill>
      <patternFill patternType="solid">
        <fgColor rgb="FF00B050"/>
        <bgColor indexed="64"/>
      </patternFill>
    </fill>
  </fills>
  <borders count="31">
    <border>
      <left/>
      <right/>
      <top/>
      <bottom/>
      <diagonal/>
    </border>
    <border>
      <left/>
      <right/>
      <top/>
      <bottom style="thin">
        <color rgb="FFD3D3D3"/>
      </bottom>
      <diagonal/>
    </border>
    <border>
      <left style="thin">
        <color rgb="FF000000"/>
      </left>
      <right style="thin">
        <color rgb="FF702082"/>
      </right>
      <top style="thin">
        <color rgb="FF000000"/>
      </top>
      <bottom style="thin">
        <color rgb="FF000000"/>
      </bottom>
      <diagonal/>
    </border>
    <border>
      <left style="thin">
        <color rgb="FF702082"/>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FFB81C"/>
      </left>
      <right/>
      <top style="thin">
        <color rgb="FF000000"/>
      </top>
      <bottom style="thin">
        <color rgb="FF000000"/>
      </bottom>
      <diagonal/>
    </border>
    <border>
      <left style="thin">
        <color rgb="FF000000"/>
      </left>
      <right style="thin">
        <color rgb="FF00A0D2"/>
      </right>
      <top style="thin">
        <color rgb="FF000000"/>
      </top>
      <bottom style="thin">
        <color rgb="FF000000"/>
      </bottom>
      <diagonal/>
    </border>
    <border>
      <left style="thin">
        <color rgb="FF00A0D2"/>
      </left>
      <right style="thin">
        <color rgb="FF00A0D2"/>
      </right>
      <top style="thin">
        <color rgb="FF000000"/>
      </top>
      <bottom style="thin">
        <color rgb="FF000000"/>
      </bottom>
      <diagonal/>
    </border>
    <border>
      <left style="thin">
        <color rgb="FF00A0D2"/>
      </left>
      <right style="thin">
        <color rgb="FF000000"/>
      </right>
      <top style="thin">
        <color rgb="FF000000"/>
      </top>
      <bottom style="thin">
        <color rgb="FF000000"/>
      </bottom>
      <diagonal/>
    </border>
    <border>
      <left style="thin">
        <color rgb="FF000000"/>
      </left>
      <right style="thin">
        <color rgb="FFC110A0"/>
      </right>
      <top style="thin">
        <color rgb="FF000000"/>
      </top>
      <bottom style="thin">
        <color rgb="FF000000"/>
      </bottom>
      <diagonal/>
    </border>
    <border>
      <left style="thin">
        <color rgb="FFC110A0"/>
      </left>
      <right style="thin">
        <color rgb="FFC110A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thin">
        <color rgb="FF000000"/>
      </top>
      <bottom/>
      <diagonal/>
    </border>
    <border>
      <left/>
      <right/>
      <top style="thin">
        <color rgb="FFFFFFFF"/>
      </top>
      <bottom/>
      <diagonal/>
    </border>
    <border>
      <left/>
      <right style="thin">
        <color rgb="FFFFFFFF"/>
      </right>
      <top style="thin">
        <color rgb="FFFFFFFF"/>
      </top>
      <bottom/>
      <diagonal/>
    </border>
    <border>
      <left/>
      <right/>
      <top style="medium">
        <color indexed="64"/>
      </top>
      <bottom/>
      <diagonal/>
    </border>
    <border>
      <left/>
      <right style="medium">
        <color indexed="64"/>
      </right>
      <top style="medium">
        <color indexed="64"/>
      </top>
      <bottom/>
      <diagonal/>
    </border>
  </borders>
  <cellStyleXfs count="14">
    <xf numFmtId="0" fontId="12" fillId="0" borderId="0"/>
    <xf numFmtId="43" fontId="12" fillId="0" borderId="0"/>
    <xf numFmtId="0" fontId="1" fillId="0" borderId="0"/>
    <xf numFmtId="167" fontId="1" fillId="0" borderId="0"/>
    <xf numFmtId="9" fontId="1" fillId="0" borderId="0"/>
    <xf numFmtId="167" fontId="1" fillId="0" borderId="0"/>
    <xf numFmtId="0" fontId="20" fillId="0" borderId="0"/>
    <xf numFmtId="9" fontId="20" fillId="0" borderId="0"/>
    <xf numFmtId="167" fontId="20" fillId="0" borderId="0"/>
    <xf numFmtId="171" fontId="20" fillId="0" borderId="0"/>
    <xf numFmtId="172" fontId="20" fillId="0" borderId="0"/>
    <xf numFmtId="169" fontId="20" fillId="0" borderId="0"/>
    <xf numFmtId="171" fontId="20" fillId="0" borderId="0"/>
    <xf numFmtId="167" fontId="20" fillId="0" borderId="0"/>
  </cellStyleXfs>
  <cellXfs count="178">
    <xf numFmtId="0" fontId="2" fillId="0" borderId="0" pivotButton="0" quotePrefix="0" xfId="0"/>
    <xf numFmtId="0" fontId="4" fillId="0" borderId="0" applyAlignment="1" pivotButton="0" quotePrefix="0" xfId="0">
      <alignment horizontal="left" vertical="top" wrapText="1" readingOrder="1"/>
    </xf>
    <xf numFmtId="0" fontId="4" fillId="0" borderId="1" applyAlignment="1" pivotButton="0" quotePrefix="0" xfId="0">
      <alignment horizontal="left" vertical="top" wrapText="1" readingOrder="1"/>
    </xf>
    <xf numFmtId="0" fontId="4" fillId="2" borderId="2" applyAlignment="1" pivotButton="0" quotePrefix="0" xfId="0">
      <alignment horizontal="left" vertical="top" wrapText="1" readingOrder="1"/>
    </xf>
    <xf numFmtId="0" fontId="4" fillId="2" borderId="3" applyAlignment="1" pivotButton="0" quotePrefix="0" xfId="0">
      <alignment horizontal="left" vertical="top" wrapText="1" readingOrder="1"/>
    </xf>
    <xf numFmtId="0" fontId="4" fillId="3" borderId="6" applyAlignment="1" pivotButton="0" quotePrefix="0" xfId="0">
      <alignment horizontal="left" vertical="top" wrapText="1" readingOrder="1"/>
    </xf>
    <xf numFmtId="0" fontId="4" fillId="4" borderId="7" applyAlignment="1" pivotButton="0" quotePrefix="0" xfId="0">
      <alignment horizontal="left" vertical="top" wrapText="1" readingOrder="1"/>
    </xf>
    <xf numFmtId="0" fontId="4" fillId="4" borderId="8" applyAlignment="1" pivotButton="0" quotePrefix="0" xfId="0">
      <alignment horizontal="left" vertical="top" wrapText="1" readingOrder="1"/>
    </xf>
    <xf numFmtId="0" fontId="4" fillId="4" borderId="9" applyAlignment="1" pivotButton="0" quotePrefix="0" xfId="0">
      <alignment horizontal="left" vertical="top" wrapText="1" readingOrder="1"/>
    </xf>
    <xf numFmtId="0" fontId="4" fillId="5" borderId="10" applyAlignment="1" pivotButton="0" quotePrefix="0" xfId="0">
      <alignment horizontal="left" vertical="top" wrapText="1" readingOrder="1"/>
    </xf>
    <xf numFmtId="0" fontId="4" fillId="5" borderId="11" applyAlignment="1" pivotButton="0" quotePrefix="0" xfId="0">
      <alignment horizontal="left" vertical="top" wrapText="1" readingOrder="1"/>
    </xf>
    <xf numFmtId="0" fontId="4" fillId="3" borderId="12" applyAlignment="1" pivotButton="0" quotePrefix="0" xfId="0">
      <alignment horizontal="left" vertical="top" wrapText="1" readingOrder="1"/>
    </xf>
    <xf numFmtId="0" fontId="5" fillId="6" borderId="12" applyAlignment="1" pivotButton="0" quotePrefix="0" xfId="0">
      <alignment horizontal="left" vertical="top" wrapText="1" readingOrder="1"/>
    </xf>
    <xf numFmtId="0" fontId="5" fillId="7" borderId="12" applyAlignment="1" pivotButton="0" quotePrefix="0" xfId="0">
      <alignment horizontal="left" vertical="top" wrapText="1" readingOrder="1"/>
    </xf>
    <xf numFmtId="0" fontId="5" fillId="8" borderId="12" applyAlignment="1" pivotButton="0" quotePrefix="0" xfId="0">
      <alignment horizontal="left" vertical="top" wrapText="1" readingOrder="1"/>
    </xf>
    <xf numFmtId="0" fontId="5" fillId="9" borderId="12" applyAlignment="1" pivotButton="0" quotePrefix="0" xfId="0">
      <alignment horizontal="left" vertical="top" wrapText="1" readingOrder="1"/>
    </xf>
    <xf numFmtId="0" fontId="6" fillId="0" borderId="13" applyAlignment="1" pivotButton="0" quotePrefix="0" xfId="0">
      <alignment horizontal="left" vertical="top" wrapText="1" readingOrder="1"/>
    </xf>
    <xf numFmtId="0" fontId="6" fillId="0" borderId="13" applyAlignment="1" pivotButton="0" quotePrefix="0" xfId="0">
      <alignment vertical="top" wrapText="1" readingOrder="1"/>
    </xf>
    <xf numFmtId="0" fontId="7" fillId="0" borderId="13" applyAlignment="1" pivotButton="0" quotePrefix="0" xfId="0">
      <alignment vertical="top" wrapText="1" readingOrder="1"/>
    </xf>
    <xf numFmtId="0" fontId="8" fillId="0" borderId="13" applyAlignment="1" pivotButton="0" quotePrefix="0" xfId="0">
      <alignment horizontal="center" vertical="center" wrapText="1" readingOrder="1"/>
    </xf>
    <xf numFmtId="0" fontId="9" fillId="0" borderId="13" applyAlignment="1" pivotButton="0" quotePrefix="0" xfId="0">
      <alignment vertical="top" wrapText="1" readingOrder="1"/>
    </xf>
    <xf numFmtId="0" fontId="5" fillId="0" borderId="13" applyAlignment="1" pivotButton="0" quotePrefix="0" xfId="0">
      <alignment horizontal="center" vertical="center" wrapText="1" readingOrder="1"/>
    </xf>
    <xf numFmtId="0" fontId="13" fillId="0" borderId="12" applyAlignment="1" pivotButton="0" quotePrefix="0" xfId="0">
      <alignment vertical="top" wrapText="1" readingOrder="1"/>
    </xf>
    <xf numFmtId="164" fontId="13" fillId="0" borderId="12" applyAlignment="1" pivotButton="0" quotePrefix="0" xfId="0">
      <alignment vertical="top" wrapText="1" readingOrder="1"/>
    </xf>
    <xf numFmtId="165" fontId="13" fillId="0" borderId="12" applyAlignment="1" pivotButton="0" quotePrefix="0" xfId="1">
      <alignment horizontal="right" vertical="top" wrapText="1" readingOrder="1"/>
    </xf>
    <xf numFmtId="0" fontId="13" fillId="0" borderId="12" applyAlignment="1" pivotButton="0" quotePrefix="0" xfId="0">
      <alignment horizontal="right" vertical="top" wrapText="1" readingOrder="1"/>
    </xf>
    <xf numFmtId="0" fontId="16" fillId="10" borderId="0" applyAlignment="1" pivotButton="0" quotePrefix="0" xfId="2">
      <alignment vertical="center"/>
    </xf>
    <xf numFmtId="0" fontId="1" fillId="10" borderId="0" pivotButton="0" quotePrefix="0" xfId="2"/>
    <xf numFmtId="0" fontId="17" fillId="10" borderId="16" applyAlignment="1" pivotButton="0" quotePrefix="0" xfId="2">
      <alignment horizontal="left" vertical="center"/>
    </xf>
    <xf numFmtId="0" fontId="17" fillId="10" borderId="16" applyAlignment="1" pivotButton="0" quotePrefix="0" xfId="2">
      <alignment horizontal="right" vertical="center"/>
    </xf>
    <xf numFmtId="0" fontId="15" fillId="10" borderId="0" pivotButton="0" quotePrefix="0" xfId="2"/>
    <xf numFmtId="9" fontId="1" fillId="10" borderId="0" pivotButton="0" quotePrefix="0" xfId="4"/>
    <xf numFmtId="0" fontId="17" fillId="10" borderId="18" applyAlignment="1" pivotButton="0" quotePrefix="0" xfId="2">
      <alignment vertical="center"/>
    </xf>
    <xf numFmtId="166" fontId="17" fillId="10" borderId="18" applyAlignment="1" pivotButton="0" quotePrefix="0" xfId="3">
      <alignment vertical="center"/>
    </xf>
    <xf numFmtId="166" fontId="17" fillId="10" borderId="19" applyAlignment="1" pivotButton="0" quotePrefix="0" xfId="3">
      <alignment vertical="center"/>
    </xf>
    <xf numFmtId="0" fontId="17" fillId="10" borderId="19" applyAlignment="1" pivotButton="0" quotePrefix="0" xfId="2">
      <alignment vertical="center"/>
    </xf>
    <xf numFmtId="0" fontId="17" fillId="10" borderId="0" applyAlignment="1" pivotButton="0" quotePrefix="0" xfId="2">
      <alignment vertical="center"/>
    </xf>
    <xf numFmtId="166" fontId="17" fillId="10" borderId="0" applyAlignment="1" pivotButton="0" quotePrefix="0" xfId="5">
      <alignment vertical="center"/>
    </xf>
    <xf numFmtId="0" fontId="17" fillId="10" borderId="0" applyAlignment="1" pivotButton="0" quotePrefix="0" xfId="2">
      <alignment horizontal="right" vertical="center"/>
    </xf>
    <xf numFmtId="3" fontId="17" fillId="10" borderId="0" applyAlignment="1" pivotButton="0" quotePrefix="0" xfId="2">
      <alignment horizontal="right" vertical="center"/>
    </xf>
    <xf numFmtId="166" fontId="17" fillId="10" borderId="0" applyAlignment="1" pivotButton="0" quotePrefix="0" xfId="2">
      <alignment horizontal="right" vertical="center"/>
    </xf>
    <xf numFmtId="167" fontId="1" fillId="10" borderId="0" pivotButton="0" quotePrefix="0" xfId="3"/>
    <xf numFmtId="0" fontId="17" fillId="10" borderId="17" applyAlignment="1" pivotButton="0" quotePrefix="0" xfId="2">
      <alignment horizontal="right" vertical="center" wrapText="1"/>
    </xf>
    <xf numFmtId="0" fontId="18" fillId="10" borderId="0" pivotButton="0" quotePrefix="0" xfId="2"/>
    <xf numFmtId="0" fontId="19" fillId="10" borderId="17" applyAlignment="1" pivotButton="0" quotePrefix="0" xfId="2">
      <alignment horizontal="right" vertical="center" wrapText="1"/>
    </xf>
    <xf numFmtId="166" fontId="19" fillId="10" borderId="19" applyAlignment="1" pivotButton="0" quotePrefix="0" xfId="3">
      <alignment vertical="center"/>
    </xf>
    <xf numFmtId="166" fontId="19" fillId="10" borderId="0" applyAlignment="1" pivotButton="0" quotePrefix="0" xfId="5">
      <alignment vertical="center"/>
    </xf>
    <xf numFmtId="166" fontId="19" fillId="10" borderId="0" applyAlignment="1" pivotButton="0" quotePrefix="0" xfId="2">
      <alignment horizontal="right" vertical="center"/>
    </xf>
    <xf numFmtId="167" fontId="18" fillId="10" borderId="0" pivotButton="0" quotePrefix="0" xfId="3"/>
    <xf numFmtId="0" fontId="2" fillId="0" borderId="0" pivotButton="1" quotePrefix="0" xfId="0"/>
    <xf numFmtId="0" fontId="2" fillId="0" borderId="0" applyAlignment="1" pivotButton="0" quotePrefix="0" xfId="0">
      <alignment horizontal="left"/>
    </xf>
    <xf numFmtId="165" fontId="2" fillId="0" borderId="0" pivotButton="0" quotePrefix="0" xfId="0"/>
    <xf numFmtId="0" fontId="15" fillId="0" borderId="0" pivotButton="0" quotePrefix="0" xfId="6"/>
    <xf numFmtId="0" fontId="1" fillId="0" borderId="0" applyAlignment="1" pivotButton="0" quotePrefix="0" xfId="6">
      <alignment horizontal="center"/>
    </xf>
    <xf numFmtId="168" fontId="1" fillId="0" borderId="0" applyAlignment="1" pivotButton="0" quotePrefix="0" xfId="6">
      <alignment horizontal="center"/>
    </xf>
    <xf numFmtId="0" fontId="1" fillId="0" borderId="0" pivotButton="0" quotePrefix="0" xfId="6"/>
    <xf numFmtId="0" fontId="15" fillId="0" borderId="16" applyAlignment="1" pivotButton="0" quotePrefix="0" xfId="6">
      <alignment horizontal="center" vertical="center"/>
    </xf>
    <xf numFmtId="0" fontId="15" fillId="0" borderId="17" applyAlignment="1" pivotButton="0" quotePrefix="0" xfId="6">
      <alignment horizontal="center" vertical="center" wrapText="1"/>
    </xf>
    <xf numFmtId="0" fontId="15" fillId="0" borderId="21" applyAlignment="1" pivotButton="0" quotePrefix="0" xfId="6">
      <alignment horizontal="center" vertical="center" wrapText="1"/>
    </xf>
    <xf numFmtId="0" fontId="15" fillId="0" borderId="20" applyAlignment="1" pivotButton="0" quotePrefix="0" xfId="6">
      <alignment horizontal="center" vertical="center" wrapText="1"/>
    </xf>
    <xf numFmtId="0" fontId="15" fillId="0" borderId="21" applyAlignment="1" pivotButton="0" quotePrefix="0" xfId="6">
      <alignment horizontal="center" vertical="center"/>
    </xf>
    <xf numFmtId="0" fontId="15" fillId="0" borderId="20" applyAlignment="1" pivotButton="0" quotePrefix="0" xfId="6">
      <alignment horizontal="center" vertical="center"/>
    </xf>
    <xf numFmtId="0" fontId="15" fillId="0" borderId="17" applyAlignment="1" pivotButton="0" quotePrefix="0" xfId="6">
      <alignment horizontal="center" vertical="center"/>
    </xf>
    <xf numFmtId="0" fontId="15" fillId="0" borderId="0" applyAlignment="1" pivotButton="0" quotePrefix="0" xfId="6">
      <alignment vertical="center"/>
    </xf>
    <xf numFmtId="0" fontId="1" fillId="0" borderId="23" applyAlignment="1" pivotButton="0" quotePrefix="0" xfId="6">
      <alignment horizontal="center"/>
    </xf>
    <xf numFmtId="0" fontId="1" fillId="0" borderId="22" pivotButton="0" quotePrefix="0" xfId="6"/>
    <xf numFmtId="166" fontId="1" fillId="0" borderId="24" pivotButton="0" quotePrefix="0" xfId="8"/>
    <xf numFmtId="0" fontId="1" fillId="0" borderId="22" applyAlignment="1" pivotButton="0" quotePrefix="0" xfId="6">
      <alignment horizontal="center"/>
    </xf>
    <xf numFmtId="166" fontId="1" fillId="0" borderId="23" pivotButton="0" quotePrefix="0" xfId="8"/>
    <xf numFmtId="0" fontId="15" fillId="0" borderId="17" pivotButton="0" quotePrefix="0" xfId="6"/>
    <xf numFmtId="0" fontId="15" fillId="0" borderId="17" applyAlignment="1" pivotButton="0" quotePrefix="0" xfId="6">
      <alignment horizontal="center"/>
    </xf>
    <xf numFmtId="0" fontId="15" fillId="0" borderId="20" applyAlignment="1" pivotButton="0" quotePrefix="0" xfId="6">
      <alignment horizontal="center"/>
    </xf>
    <xf numFmtId="0" fontId="15" fillId="0" borderId="16" applyAlignment="1" pivotButton="0" quotePrefix="0" xfId="6">
      <alignment horizontal="center"/>
    </xf>
    <xf numFmtId="0" fontId="1" fillId="0" borderId="24" applyAlignment="1" pivotButton="0" quotePrefix="0" xfId="6">
      <alignment horizontal="center"/>
    </xf>
    <xf numFmtId="0" fontId="15" fillId="0" borderId="21" applyAlignment="1" pivotButton="0" quotePrefix="0" xfId="6">
      <alignment horizontal="center"/>
    </xf>
    <xf numFmtId="166" fontId="15" fillId="0" borderId="17" pivotButton="0" quotePrefix="0" xfId="8"/>
    <xf numFmtId="0" fontId="15" fillId="0" borderId="16" pivotButton="0" quotePrefix="0" xfId="6"/>
    <xf numFmtId="169" fontId="15" fillId="0" borderId="20" applyAlignment="1" pivotButton="0" quotePrefix="0" xfId="11">
      <alignment horizontal="center"/>
    </xf>
    <xf numFmtId="166" fontId="15" fillId="0" borderId="23" pivotButton="0" quotePrefix="0" xfId="8"/>
    <xf numFmtId="0" fontId="15" fillId="0" borderId="23" applyAlignment="1" pivotButton="0" quotePrefix="0" xfId="6">
      <alignment horizontal="center"/>
    </xf>
    <xf numFmtId="0" fontId="15" fillId="0" borderId="0" applyAlignment="1" pivotButton="0" quotePrefix="0" xfId="6">
      <alignment horizontal="center"/>
    </xf>
    <xf numFmtId="0" fontId="15" fillId="0" borderId="24" applyAlignment="1" pivotButton="0" quotePrefix="0" xfId="6">
      <alignment horizontal="center"/>
    </xf>
    <xf numFmtId="0" fontId="15" fillId="0" borderId="25" pivotButton="0" quotePrefix="0" xfId="6"/>
    <xf numFmtId="166" fontId="1" fillId="0" borderId="23" applyAlignment="1" pivotButton="0" quotePrefix="0" xfId="8">
      <alignment horizontal="center"/>
    </xf>
    <xf numFmtId="166" fontId="1" fillId="0" borderId="24" applyAlignment="1" pivotButton="0" quotePrefix="0" xfId="8">
      <alignment horizontal="center"/>
    </xf>
    <xf numFmtId="0" fontId="15" fillId="0" borderId="22" pivotButton="0" quotePrefix="0" xfId="6"/>
    <xf numFmtId="169" fontId="1" fillId="0" borderId="24" applyAlignment="1" pivotButton="0" quotePrefix="0" xfId="11">
      <alignment horizontal="center"/>
    </xf>
    <xf numFmtId="3" fontId="22" fillId="0" borderId="22" applyAlignment="1" pivotButton="0" quotePrefix="0" xfId="6">
      <alignment horizontal="right" indent="1"/>
    </xf>
    <xf numFmtId="3" fontId="22" fillId="0" borderId="22" applyAlignment="1" pivotButton="0" quotePrefix="0" xfId="6">
      <alignment horizontal="right"/>
    </xf>
    <xf numFmtId="166" fontId="1" fillId="0" borderId="23" pivotButton="0" quotePrefix="0" xfId="13"/>
    <xf numFmtId="3" fontId="23" fillId="0" borderId="22" applyAlignment="1" pivotButton="0" quotePrefix="0" xfId="6">
      <alignment horizontal="right"/>
    </xf>
    <xf numFmtId="166" fontId="15" fillId="0" borderId="23" pivotButton="0" quotePrefix="0" xfId="13"/>
    <xf numFmtId="166" fontId="1" fillId="0" borderId="23" applyAlignment="1" pivotButton="0" quotePrefix="0" xfId="13">
      <alignment horizontal="right"/>
    </xf>
    <xf numFmtId="166" fontId="15" fillId="0" borderId="24" pivotButton="0" quotePrefix="0" xfId="8"/>
    <xf numFmtId="169" fontId="15" fillId="0" borderId="17" applyAlignment="1" pivotButton="0" quotePrefix="0" xfId="11">
      <alignment horizontal="center"/>
    </xf>
    <xf numFmtId="169" fontId="15" fillId="0" borderId="21" applyAlignment="1" pivotButton="0" quotePrefix="0" xfId="11">
      <alignment horizontal="center"/>
    </xf>
    <xf numFmtId="3" fontId="1" fillId="0" borderId="22" applyAlignment="1" pivotButton="0" quotePrefix="0" xfId="6">
      <alignment horizontal="right" indent="1"/>
    </xf>
    <xf numFmtId="3" fontId="1" fillId="0" borderId="22" applyAlignment="1" pivotButton="0" quotePrefix="0" xfId="6">
      <alignment horizontal="right"/>
    </xf>
    <xf numFmtId="3" fontId="1" fillId="0" borderId="23" applyAlignment="1" pivotButton="0" quotePrefix="0" xfId="6">
      <alignment horizontal="center"/>
    </xf>
    <xf numFmtId="3" fontId="1" fillId="0" borderId="24" applyAlignment="1" pivotButton="0" quotePrefix="0" xfId="6">
      <alignment horizontal="center"/>
    </xf>
    <xf numFmtId="166" fontId="22" fillId="0" borderId="23" pivotButton="0" quotePrefix="0" xfId="13"/>
    <xf numFmtId="0" fontId="23" fillId="0" borderId="22" pivotButton="0" quotePrefix="0" xfId="6"/>
    <xf numFmtId="0" fontId="22" fillId="0" borderId="22" pivotButton="0" quotePrefix="0" xfId="6"/>
    <xf numFmtId="166" fontId="15" fillId="0" borderId="17" applyAlignment="1" pivotButton="0" quotePrefix="0" xfId="8">
      <alignment horizontal="center"/>
    </xf>
    <xf numFmtId="166" fontId="15" fillId="0" borderId="21" applyAlignment="1" pivotButton="0" quotePrefix="0" xfId="8">
      <alignment horizontal="center"/>
    </xf>
    <xf numFmtId="166" fontId="1" fillId="0" borderId="23" applyAlignment="1" pivotButton="0" quotePrefix="0" xfId="13">
      <alignment horizontal="center"/>
    </xf>
    <xf numFmtId="166" fontId="15" fillId="0" borderId="0" applyAlignment="1" pivotButton="0" quotePrefix="0" xfId="8">
      <alignment horizontal="center"/>
    </xf>
    <xf numFmtId="9" fontId="15" fillId="0" borderId="0" applyAlignment="1" pivotButton="0" quotePrefix="0" xfId="7">
      <alignment horizontal="center"/>
    </xf>
    <xf numFmtId="166" fontId="15" fillId="0" borderId="0" applyAlignment="1" pivotButton="0" quotePrefix="0" xfId="6">
      <alignment horizontal="center"/>
    </xf>
    <xf numFmtId="0" fontId="15" fillId="12" borderId="17" pivotButton="0" quotePrefix="0" xfId="6"/>
    <xf numFmtId="166" fontId="14" fillId="12" borderId="17" applyAlignment="1" pivotButton="0" quotePrefix="0" xfId="8">
      <alignment horizontal="center"/>
    </xf>
    <xf numFmtId="166" fontId="14" fillId="0" borderId="0" applyAlignment="1" pivotButton="0" quotePrefix="0" xfId="8">
      <alignment horizontal="center"/>
    </xf>
    <xf numFmtId="166" fontId="1" fillId="0" borderId="0" applyAlignment="1" pivotButton="0" quotePrefix="0" xfId="6">
      <alignment horizontal="center"/>
    </xf>
    <xf numFmtId="0" fontId="24" fillId="0" borderId="0" applyAlignment="1" pivotButton="0" quotePrefix="0" xfId="6">
      <alignment wrapText="1"/>
    </xf>
    <xf numFmtId="170" fontId="1" fillId="0" borderId="23" applyAlignment="1" pivotButton="0" quotePrefix="0" xfId="6">
      <alignment horizontal="center"/>
    </xf>
    <xf numFmtId="168" fontId="1" fillId="0" borderId="17" applyAlignment="1" pivotButton="0" quotePrefix="0" xfId="6">
      <alignment horizontal="center"/>
    </xf>
    <xf numFmtId="10" fontId="1" fillId="0" borderId="0" applyAlignment="1" pivotButton="0" quotePrefix="0" xfId="7">
      <alignment horizontal="center"/>
    </xf>
    <xf numFmtId="170" fontId="1" fillId="0" borderId="19" applyAlignment="1" pivotButton="0" quotePrefix="0" xfId="6">
      <alignment horizontal="center"/>
    </xf>
    <xf numFmtId="0" fontId="3" fillId="0" borderId="0" applyAlignment="1" pivotButton="0" quotePrefix="0" xfId="0">
      <alignment horizontal="left" vertical="top" wrapText="1" readingOrder="1"/>
    </xf>
    <xf numFmtId="0" fontId="4" fillId="3" borderId="4" applyAlignment="1" pivotButton="0" quotePrefix="0" xfId="0">
      <alignment horizontal="left" vertical="top" wrapText="1" readingOrder="1"/>
    </xf>
    <xf numFmtId="0" fontId="2" fillId="0" borderId="5" applyAlignment="1" pivotButton="0" quotePrefix="0" xfId="0">
      <alignment vertical="top" wrapText="1"/>
    </xf>
    <xf numFmtId="0" fontId="6" fillId="0" borderId="13" applyAlignment="1" pivotButton="0" quotePrefix="0" xfId="0">
      <alignment vertical="top" wrapText="1" readingOrder="1"/>
    </xf>
    <xf numFmtId="0" fontId="2" fillId="0" borderId="14" applyAlignment="1" pivotButton="0" quotePrefix="0" xfId="0">
      <alignment vertical="top" wrapText="1"/>
    </xf>
    <xf numFmtId="0" fontId="5" fillId="0" borderId="0" applyAlignment="1" pivotButton="0" quotePrefix="0" xfId="0">
      <alignment vertical="top" wrapText="1" readingOrder="1"/>
    </xf>
    <xf numFmtId="0" fontId="5" fillId="0" borderId="13" applyAlignment="1" pivotButton="0" quotePrefix="0" xfId="0">
      <alignment vertical="top" wrapText="1" readingOrder="1"/>
    </xf>
    <xf numFmtId="0" fontId="9" fillId="0" borderId="13" applyAlignment="1" pivotButton="0" quotePrefix="0" xfId="0">
      <alignment vertical="top" wrapText="1" readingOrder="1"/>
    </xf>
    <xf numFmtId="0" fontId="15" fillId="0" borderId="0" applyAlignment="1" pivotButton="0" quotePrefix="0" xfId="6">
      <alignment horizontal="center"/>
    </xf>
    <xf numFmtId="0" fontId="21" fillId="11" borderId="16" applyAlignment="1" pivotButton="0" quotePrefix="0" xfId="6">
      <alignment horizontal="center"/>
    </xf>
    <xf numFmtId="0" fontId="21" fillId="11" borderId="20" applyAlignment="1" pivotButton="0" quotePrefix="0" xfId="6">
      <alignment horizontal="center"/>
    </xf>
    <xf numFmtId="0" fontId="21" fillId="11" borderId="21" applyAlignment="1" pivotButton="0" quotePrefix="0" xfId="6">
      <alignment horizontal="center"/>
    </xf>
    <xf numFmtId="0" fontId="21" fillId="0" borderId="0" applyAlignment="1" pivotButton="0" quotePrefix="0" xfId="6">
      <alignment horizontal="center"/>
    </xf>
    <xf numFmtId="0" fontId="2" fillId="0" borderId="0" pivotButton="0" quotePrefix="0" xfId="0"/>
    <xf numFmtId="0" fontId="9" fillId="10" borderId="15" pivotButton="0" quotePrefix="1" xfId="0"/>
    <xf numFmtId="0" fontId="0" fillId="0" borderId="0" pivotButton="0" quotePrefix="0" xfId="0"/>
    <xf numFmtId="165" fontId="2" fillId="0" borderId="0" pivotButton="0" quotePrefix="0" xfId="0"/>
    <xf numFmtId="166" fontId="17" fillId="10" borderId="18" applyAlignment="1" pivotButton="0" quotePrefix="0" xfId="3">
      <alignment vertical="center"/>
    </xf>
    <xf numFmtId="166" fontId="19" fillId="10" borderId="19" applyAlignment="1" pivotButton="0" quotePrefix="0" xfId="3">
      <alignment vertical="center"/>
    </xf>
    <xf numFmtId="166" fontId="17" fillId="10" borderId="19" applyAlignment="1" pivotButton="0" quotePrefix="0" xfId="3">
      <alignment vertical="center"/>
    </xf>
    <xf numFmtId="166" fontId="19" fillId="10" borderId="0" applyAlignment="1" pivotButton="0" quotePrefix="0" xfId="5">
      <alignment vertical="center"/>
    </xf>
    <xf numFmtId="166" fontId="17" fillId="10" borderId="0" applyAlignment="1" pivotButton="0" quotePrefix="0" xfId="5">
      <alignment vertical="center"/>
    </xf>
    <xf numFmtId="166" fontId="19" fillId="10" borderId="0" applyAlignment="1" pivotButton="0" quotePrefix="0" xfId="2">
      <alignment horizontal="right" vertical="center"/>
    </xf>
    <xf numFmtId="166" fontId="17" fillId="10" borderId="0" applyAlignment="1" pivotButton="0" quotePrefix="0" xfId="2">
      <alignment horizontal="right" vertical="center"/>
    </xf>
    <xf numFmtId="167" fontId="18" fillId="10" borderId="0" pivotButton="0" quotePrefix="0" xfId="3"/>
    <xf numFmtId="167" fontId="1" fillId="10" borderId="0" pivotButton="0" quotePrefix="0" xfId="3"/>
    <xf numFmtId="0" fontId="0" fillId="0" borderId="5" pivotButton="0" quotePrefix="0" xfId="0"/>
    <xf numFmtId="164" fontId="13" fillId="0" borderId="12" applyAlignment="1" pivotButton="0" quotePrefix="0" xfId="0">
      <alignment vertical="top" wrapText="1" readingOrder="1"/>
    </xf>
    <xf numFmtId="165" fontId="13" fillId="0" borderId="12" applyAlignment="1" pivotButton="0" quotePrefix="0" xfId="1">
      <alignment horizontal="right" vertical="top" wrapText="1" readingOrder="1"/>
    </xf>
    <xf numFmtId="0" fontId="0" fillId="0" borderId="14" pivotButton="0" quotePrefix="0" xfId="0"/>
    <xf numFmtId="168" fontId="1" fillId="0" borderId="0" applyAlignment="1" pivotButton="0" quotePrefix="0" xfId="6">
      <alignment horizontal="center"/>
    </xf>
    <xf numFmtId="0" fontId="21" fillId="11" borderId="17" applyAlignment="1" pivotButton="0" quotePrefix="0" xfId="6">
      <alignment horizontal="center"/>
    </xf>
    <xf numFmtId="0" fontId="0" fillId="0" borderId="20" pivotButton="0" quotePrefix="0" xfId="0"/>
    <xf numFmtId="0" fontId="0" fillId="0" borderId="21" pivotButton="0" quotePrefix="0" xfId="0"/>
    <xf numFmtId="166" fontId="1" fillId="0" borderId="23" pivotButton="0" quotePrefix="0" xfId="8"/>
    <xf numFmtId="166" fontId="15" fillId="0" borderId="23" pivotButton="0" quotePrefix="0" xfId="8"/>
    <xf numFmtId="166" fontId="1" fillId="0" borderId="24" pivotButton="0" quotePrefix="0" xfId="8"/>
    <xf numFmtId="166" fontId="1" fillId="0" borderId="23" applyAlignment="1" pivotButton="0" quotePrefix="0" xfId="8">
      <alignment horizontal="center"/>
    </xf>
    <xf numFmtId="166" fontId="1" fillId="0" borderId="24" applyAlignment="1" pivotButton="0" quotePrefix="0" xfId="8">
      <alignment horizontal="center"/>
    </xf>
    <xf numFmtId="169" fontId="1" fillId="0" borderId="24" applyAlignment="1" pivotButton="0" quotePrefix="0" xfId="11">
      <alignment horizontal="center"/>
    </xf>
    <xf numFmtId="166" fontId="1" fillId="0" borderId="23" pivotButton="0" quotePrefix="0" xfId="13"/>
    <xf numFmtId="166" fontId="15" fillId="0" borderId="23" pivotButton="0" quotePrefix="0" xfId="13"/>
    <xf numFmtId="166" fontId="1" fillId="0" borderId="23" applyAlignment="1" pivotButton="0" quotePrefix="0" xfId="13">
      <alignment horizontal="right"/>
    </xf>
    <xf numFmtId="166" fontId="15" fillId="0" borderId="24" pivotButton="0" quotePrefix="0" xfId="8"/>
    <xf numFmtId="166" fontId="15" fillId="0" borderId="17" pivotButton="0" quotePrefix="0" xfId="8"/>
    <xf numFmtId="169" fontId="15" fillId="0" borderId="20" applyAlignment="1" pivotButton="0" quotePrefix="0" xfId="11">
      <alignment horizontal="center"/>
    </xf>
    <xf numFmtId="169" fontId="15" fillId="0" borderId="17" applyAlignment="1" pivotButton="0" quotePrefix="0" xfId="11">
      <alignment horizontal="center"/>
    </xf>
    <xf numFmtId="169" fontId="15" fillId="0" borderId="21" applyAlignment="1" pivotButton="0" quotePrefix="0" xfId="11">
      <alignment horizontal="center"/>
    </xf>
    <xf numFmtId="166" fontId="22" fillId="0" borderId="23" pivotButton="0" quotePrefix="0" xfId="13"/>
    <xf numFmtId="166" fontId="15" fillId="0" borderId="17" applyAlignment="1" pivotButton="0" quotePrefix="0" xfId="8">
      <alignment horizontal="center"/>
    </xf>
    <xf numFmtId="166" fontId="15" fillId="0" borderId="21" applyAlignment="1" pivotButton="0" quotePrefix="0" xfId="8">
      <alignment horizontal="center"/>
    </xf>
    <xf numFmtId="166" fontId="1" fillId="0" borderId="23" applyAlignment="1" pivotButton="0" quotePrefix="0" xfId="13">
      <alignment horizontal="center"/>
    </xf>
    <xf numFmtId="166" fontId="15" fillId="0" borderId="0" applyAlignment="1" pivotButton="0" quotePrefix="0" xfId="8">
      <alignment horizontal="center"/>
    </xf>
    <xf numFmtId="166" fontId="15" fillId="0" borderId="0" applyAlignment="1" pivotButton="0" quotePrefix="0" xfId="6">
      <alignment horizontal="center"/>
    </xf>
    <xf numFmtId="166" fontId="14" fillId="12" borderId="17" applyAlignment="1" pivotButton="0" quotePrefix="0" xfId="8">
      <alignment horizontal="center"/>
    </xf>
    <xf numFmtId="166" fontId="14" fillId="0" borderId="0" applyAlignment="1" pivotButton="0" quotePrefix="0" xfId="8">
      <alignment horizontal="center"/>
    </xf>
    <xf numFmtId="166" fontId="1" fillId="0" borderId="0" applyAlignment="1" pivotButton="0" quotePrefix="0" xfId="6">
      <alignment horizontal="center"/>
    </xf>
    <xf numFmtId="170" fontId="1" fillId="0" borderId="23" applyAlignment="1" pivotButton="0" quotePrefix="0" xfId="6">
      <alignment horizontal="center"/>
    </xf>
    <xf numFmtId="168" fontId="1" fillId="0" borderId="17" applyAlignment="1" pivotButton="0" quotePrefix="0" xfId="6">
      <alignment horizontal="center"/>
    </xf>
    <xf numFmtId="170" fontId="1" fillId="0" borderId="19" applyAlignment="1" pivotButton="0" quotePrefix="0" xfId="6">
      <alignment horizontal="center"/>
    </xf>
  </cellXfs>
  <cellStyles count="14">
    <cellStyle name="Normal" xfId="0" builtinId="0"/>
    <cellStyle name="Comma" xfId="1" builtinId="3"/>
    <cellStyle name="Normal 35" xfId="2"/>
    <cellStyle name="Comma 2" xfId="3"/>
    <cellStyle name="Percent 2" xfId="4"/>
    <cellStyle name="Comma 79" xfId="5"/>
    <cellStyle name="Normal 2" xfId="6"/>
    <cellStyle name="Percent 3" xfId="7"/>
    <cellStyle name="Millares 2" xfId="8"/>
    <cellStyle name="Comma 3" xfId="9"/>
    <cellStyle name="Moneda 2" xfId="10"/>
    <cellStyle name="Comma [0] 2" xfId="11"/>
    <cellStyle name="Vírgula 2" xfId="12"/>
    <cellStyle name="Comma 2 2" xfId="13"/>
  </cellStyles>
  <dxfs count="1">
    <dxf>
      <numFmt numFmtId="166" formatCode="_(* #,##0_);_(* \(#,##0\);_(* &quot;-&quot;??_);_(@_)"/>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702082"/>
      <rgbColor rgb="00FFB81C"/>
      <rgbColor rgb="0000A0D2"/>
      <rgbColor rgb="00C110A0"/>
      <rgbColor rgb="0000C389"/>
      <rgbColor rgb="00A983B6"/>
      <rgbColor rgb="00FFD891"/>
      <rgbColor rgb="007DB4D5"/>
      <rgbColor rgb="00CB90BF"/>
      <rgbColor rgb="00AADBCB"/>
      <rgbColor rgb="00333333"/>
      <rgbColor rgb="00808080"/>
      <rgbColor rgb="000000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0C0C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0808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www.fema.gov/" TargetMode="External" Id="rId1"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D11" sqref="D11"/>
    </sheetView>
  </sheetViews>
  <sheetFormatPr baseColWidth="8" defaultRowHeight="15"/>
  <cols>
    <col width="13.140625" bestFit="1" customWidth="1" style="133" min="1" max="1"/>
    <col width="14.28515625" bestFit="1" customWidth="1" style="133" min="2" max="2"/>
    <col width="12.5703125" bestFit="1" customWidth="1" style="133" min="3" max="3"/>
    <col width="17.7109375" bestFit="1" customWidth="1" style="133" min="4" max="4"/>
    <col width="11.85546875" bestFit="1" customWidth="1" style="133" min="5" max="6"/>
  </cols>
  <sheetData>
    <row r="1"/>
    <row r="2"/>
    <row r="3">
      <c r="A3" s="49" t="inlineStr">
        <is>
          <t>Row Labels</t>
        </is>
      </c>
      <c r="B3" s="131" t="inlineStr">
        <is>
          <t>Sum of PD</t>
        </is>
      </c>
      <c r="C3" s="131" t="inlineStr">
        <is>
          <t>Sum of BI</t>
        </is>
      </c>
      <c r="D3" s="131" t="inlineStr">
        <is>
          <t>Sum of TIV (PD+BI)</t>
        </is>
      </c>
    </row>
    <row r="4">
      <c r="A4" s="50" t="inlineStr">
        <is>
          <t>Germany</t>
        </is>
      </c>
      <c r="B4" s="134" t="n">
        <v>937725166.4659001</v>
      </c>
      <c r="C4" s="134" t="n">
        <v>133081330.68</v>
      </c>
      <c r="D4" s="134" t="n">
        <v>1070806497.1459</v>
      </c>
    </row>
    <row r="5">
      <c r="A5" s="50" t="inlineStr">
        <is>
          <t>Portugal</t>
        </is>
      </c>
      <c r="B5" s="134" t="n">
        <v>480428033.414</v>
      </c>
      <c r="C5" s="134" t="n">
        <v>54479865.31219999</v>
      </c>
      <c r="D5" s="134" t="n">
        <v>534907898.7262</v>
      </c>
    </row>
    <row r="6">
      <c r="A6" s="50" t="inlineStr">
        <is>
          <t>South Africa</t>
        </is>
      </c>
      <c r="B6" s="134" t="n">
        <v>156886256</v>
      </c>
      <c r="C6" s="134" t="n">
        <v>24143242.63</v>
      </c>
      <c r="D6" s="134" t="n">
        <v>181029498.63</v>
      </c>
    </row>
    <row r="7">
      <c r="A7" s="50" t="inlineStr">
        <is>
          <t>Spain</t>
        </is>
      </c>
      <c r="B7" s="134" t="n">
        <v>291872307.4944</v>
      </c>
      <c r="C7" s="134" t="n">
        <v>37602647.98500001</v>
      </c>
      <c r="D7" s="134" t="n">
        <v>329474955.4794</v>
      </c>
    </row>
    <row r="8">
      <c r="A8" s="50" t="inlineStr">
        <is>
          <t>Grand Total</t>
        </is>
      </c>
      <c r="B8" s="134" t="n">
        <v>1866911763.3743</v>
      </c>
      <c r="C8" s="134" t="n">
        <v>249307086.6072</v>
      </c>
      <c r="D8" s="134" t="n">
        <v>2116218849.9815</v>
      </c>
    </row>
    <row r="9"/>
    <row r="10"/>
    <row r="11"/>
    <row r="12"/>
    <row r="13"/>
    <row r="14"/>
    <row r="15"/>
    <row r="16">
      <c r="A16" s="131" t="inlineStr">
        <is>
          <t>*Business Interruption – Annual Declared Value.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H13"/>
  <sheetViews>
    <sheetView topLeftCell="B4" zoomScale="130" zoomScaleNormal="130" workbookViewId="0">
      <selection activeCell="F27" sqref="F27"/>
    </sheetView>
  </sheetViews>
  <sheetFormatPr baseColWidth="8" defaultColWidth="9.140625" defaultRowHeight="12.75"/>
  <cols>
    <col width="9.140625" customWidth="1" style="27" min="1" max="3"/>
    <col width="25.85546875" bestFit="1" customWidth="1" style="27" min="4" max="4"/>
    <col width="16.7109375" customWidth="1" style="27" min="5" max="5"/>
    <col width="15.140625" bestFit="1" customWidth="1" style="43" min="6" max="6"/>
    <col width="15.42578125" bestFit="1" customWidth="1" style="27" min="7" max="7"/>
    <col width="5.140625" bestFit="1" customWidth="1" style="27" min="8" max="8"/>
    <col width="9.140625" customWidth="1" style="27" min="9" max="16384"/>
  </cols>
  <sheetData>
    <row r="1"/>
    <row r="2"/>
    <row r="3"/>
    <row r="4"/>
    <row r="5" ht="15.75" customHeight="1" s="133" thickBot="1">
      <c r="D5" s="26" t="n"/>
      <c r="E5" s="26" t="n"/>
    </row>
    <row r="6" ht="45.75" customHeight="1" s="133" thickBot="1">
      <c r="D6" s="28" t="inlineStr">
        <is>
          <t>COUNTRY</t>
        </is>
      </c>
      <c r="E6" s="29" t="inlineStr">
        <is>
          <t>2022 USD</t>
        </is>
      </c>
      <c r="F6" s="44" t="inlineStr">
        <is>
          <t>2021 USD 
at binding</t>
        </is>
      </c>
      <c r="G6" s="42" t="inlineStr">
        <is>
          <t>2021 USD 
at inception post endt. no. 1</t>
        </is>
      </c>
      <c r="H6" s="30" t="inlineStr">
        <is>
          <t>VAR</t>
        </is>
      </c>
    </row>
    <row r="7" ht="15.75" customHeight="1" s="133" thickBot="1">
      <c r="D7" s="32" t="inlineStr">
        <is>
          <t>Germany (Sonae Client A)</t>
        </is>
      </c>
      <c r="E7" s="135" t="n">
        <v>1070806497</v>
      </c>
      <c r="F7" s="136" t="n">
        <v>1226514100.292915</v>
      </c>
      <c r="G7" s="137" t="n">
        <v>1174543164</v>
      </c>
      <c r="H7" s="31">
        <f>E7/G7-1</f>
        <v/>
      </c>
    </row>
    <row r="8" ht="15.75" customHeight="1" s="133" thickBot="1">
      <c r="D8" s="35" t="inlineStr">
        <is>
          <t xml:space="preserve">Portugal (Sonae Client A) </t>
        </is>
      </c>
      <c r="E8" s="137" t="n">
        <v>534907899</v>
      </c>
      <c r="F8" s="136" t="n">
        <v>603589196.2632574</v>
      </c>
      <c r="G8" s="137" t="n">
        <v>578013383</v>
      </c>
      <c r="H8" s="31">
        <f>E8/G8-1</f>
        <v/>
      </c>
    </row>
    <row r="9" ht="15.75" customHeight="1" s="133" thickBot="1">
      <c r="D9" s="35" t="inlineStr">
        <is>
          <t xml:space="preserve">Spain (Sonae Client A) </t>
        </is>
      </c>
      <c r="E9" s="137" t="n">
        <v>329474955.48</v>
      </c>
      <c r="F9" s="136" t="n">
        <v>374166375.2255155</v>
      </c>
      <c r="G9" s="137" t="n">
        <v>358311868</v>
      </c>
      <c r="H9" s="31">
        <f>E9/G9-1</f>
        <v/>
      </c>
    </row>
    <row r="10" ht="15.75" customHeight="1" s="133" thickBot="1">
      <c r="D10" s="35" t="inlineStr">
        <is>
          <t xml:space="preserve">South Africa (Sonae Client A ) </t>
        </is>
      </c>
      <c r="E10" s="137" t="n">
        <v>181029499</v>
      </c>
      <c r="F10" s="136" t="n">
        <v>221923621.5639128</v>
      </c>
      <c r="G10" s="137" t="n">
        <v>221923621.5639128</v>
      </c>
      <c r="H10" s="31">
        <f>E10/G10-1</f>
        <v/>
      </c>
    </row>
    <row r="11" ht="15" customHeight="1" s="133">
      <c r="D11" s="36" t="n"/>
      <c r="E11" s="36" t="n"/>
      <c r="F11" s="138" t="n"/>
      <c r="G11" s="139" t="n"/>
      <c r="H11" s="31" t="n"/>
    </row>
    <row r="12" ht="15" customHeight="1" s="133">
      <c r="D12" s="38" t="inlineStr">
        <is>
          <t>GRAND TOTAL</t>
        </is>
      </c>
      <c r="E12" s="39">
        <f>SUM(E7:E10)</f>
        <v/>
      </c>
      <c r="F12" s="140">
        <f>SUM(F7:F10)</f>
        <v/>
      </c>
      <c r="G12" s="141">
        <f>SUM(G7:G10)</f>
        <v/>
      </c>
      <c r="H12" s="31">
        <f>E12/G12-1</f>
        <v/>
      </c>
    </row>
    <row r="13">
      <c r="F13" s="142" t="n"/>
      <c r="G13" s="143" t="n"/>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R40"/>
  <sheetViews>
    <sheetView showGridLines="0" topLeftCell="E10" zoomScaleNormal="100" workbookViewId="0">
      <selection activeCell="H23" sqref="H23"/>
    </sheetView>
  </sheetViews>
  <sheetFormatPr baseColWidth="8" defaultColWidth="55.7109375" defaultRowHeight="15"/>
  <cols>
    <col width="10.140625" customWidth="1" style="133" min="1" max="1"/>
    <col width="21.140625" customWidth="1" style="133" min="2" max="2"/>
    <col width="43.5703125" customWidth="1" style="133" min="3" max="3"/>
    <col width="16.140625" customWidth="1" style="133" min="4" max="4"/>
    <col width="24.140625" customWidth="1" style="133" min="6" max="6"/>
    <col width="21.85546875" customWidth="1" style="133" min="7" max="7"/>
    <col width="37.85546875" customWidth="1" style="133" min="8" max="8"/>
    <col width="15.28515625" customWidth="1" style="133" min="9" max="9"/>
    <col width="25.7109375" customWidth="1" style="133" min="10" max="10"/>
    <col width="25.85546875" customWidth="1" style="133" min="11" max="11"/>
    <col width="17.42578125" customWidth="1" style="133" min="12" max="12"/>
    <col width="24.42578125" customWidth="1" style="133" min="13" max="13"/>
    <col width="23.7109375" customWidth="1" style="133" min="14" max="14"/>
    <col width="42.5703125" customWidth="1" style="133" min="15" max="15"/>
    <col width="59.140625" customWidth="1" style="133" min="16" max="16"/>
    <col width="18.85546875" customWidth="1" style="133" min="17" max="17"/>
    <col width="58.42578125" customWidth="1" style="133" min="18" max="18"/>
  </cols>
  <sheetData>
    <row r="1"/>
    <row r="2"/>
    <row r="3"/>
    <row r="4">
      <c r="B4" s="118" t="inlineStr">
        <is>
          <t>Broker - Client A 2022</t>
        </is>
      </c>
      <c r="H4" s="1" t="inlineStr"/>
      <c r="I4" s="1" t="inlineStr"/>
      <c r="J4" s="1" t="inlineStr"/>
      <c r="K4" s="1" t="inlineStr"/>
      <c r="L4" s="1" t="n"/>
      <c r="M4" s="1" t="inlineStr"/>
      <c r="N4" s="1" t="inlineStr"/>
      <c r="O4" s="1" t="inlineStr"/>
      <c r="P4" s="1" t="inlineStr"/>
      <c r="Q4" s="1" t="inlineStr"/>
      <c r="R4" s="2" t="inlineStr"/>
    </row>
    <row r="5">
      <c r="B5" s="3" t="inlineStr">
        <is>
          <t>Account</t>
        </is>
      </c>
      <c r="C5" s="4" t="inlineStr"/>
      <c r="D5" s="119" t="inlineStr">
        <is>
          <t>Location</t>
        </is>
      </c>
      <c r="E5" s="144" t="n"/>
      <c r="F5" s="144" t="n"/>
      <c r="G5" s="144" t="n"/>
      <c r="H5" s="5" t="inlineStr"/>
      <c r="I5" s="5" t="inlineStr"/>
      <c r="J5" s="6" t="inlineStr">
        <is>
          <t>Values</t>
        </is>
      </c>
      <c r="K5" s="7" t="inlineStr"/>
      <c r="L5" s="7" t="n"/>
      <c r="M5" s="7" t="inlineStr"/>
      <c r="N5" s="8" t="inlineStr"/>
      <c r="O5" s="9" t="inlineStr">
        <is>
          <t>Vulnerability - Primary Modifiers</t>
        </is>
      </c>
      <c r="P5" s="9" t="inlineStr"/>
      <c r="Q5" s="10" t="inlineStr"/>
      <c r="R5" s="11" t="inlineStr"/>
    </row>
    <row r="6">
      <c r="B6" s="12" t="inlineStr">
        <is>
          <t>Account Name</t>
        </is>
      </c>
      <c r="C6" s="12" t="inlineStr">
        <is>
          <t>Business Entity</t>
        </is>
      </c>
      <c r="D6" s="13" t="inlineStr">
        <is>
          <t>Location ID</t>
        </is>
      </c>
      <c r="E6" s="13" t="inlineStr">
        <is>
          <t>Location Name</t>
        </is>
      </c>
      <c r="F6" s="13" t="inlineStr">
        <is>
          <t>Latitude</t>
        </is>
      </c>
      <c r="G6" s="13" t="inlineStr">
        <is>
          <t>Longitude</t>
        </is>
      </c>
      <c r="H6" s="13" t="inlineStr">
        <is>
          <t>Address</t>
        </is>
      </c>
      <c r="I6" s="13" t="inlineStr">
        <is>
          <t>Country Name</t>
        </is>
      </c>
      <c r="J6" s="14" t="inlineStr">
        <is>
          <t>Buildings</t>
        </is>
      </c>
      <c r="K6" s="14" t="inlineStr">
        <is>
          <t>Contents</t>
        </is>
      </c>
      <c r="L6" s="14" t="inlineStr">
        <is>
          <t>PD</t>
        </is>
      </c>
      <c r="M6" s="14" t="inlineStr">
        <is>
          <t>BI</t>
        </is>
      </c>
      <c r="N6" s="14" t="inlineStr">
        <is>
          <t>TIV</t>
        </is>
      </c>
      <c r="O6" s="15" t="inlineStr">
        <is>
          <t>RMS Construction</t>
        </is>
      </c>
      <c r="P6" s="15" t="inlineStr">
        <is>
          <t>RMS Occupancy</t>
        </is>
      </c>
      <c r="Q6" s="15" t="inlineStr">
        <is>
          <t>Year Built</t>
        </is>
      </c>
      <c r="R6" s="13" t="inlineStr">
        <is>
          <t>Survey Report</t>
        </is>
      </c>
    </row>
    <row r="7">
      <c r="B7" s="22" t="inlineStr">
        <is>
          <t>Client A</t>
        </is>
      </c>
      <c r="C7" s="22" t="inlineStr">
        <is>
          <t>Sonae Client A Portugal SA</t>
        </is>
      </c>
      <c r="D7" s="22" t="n">
        <v>49</v>
      </c>
      <c r="E7" s="22" t="inlineStr">
        <is>
          <t>Mangualde</t>
        </is>
      </c>
      <c r="F7" s="145" t="n">
        <v>40.585992</v>
      </c>
      <c r="G7" s="145" t="n">
        <v>-7.791495</v>
      </c>
      <c r="H7" s="22" t="n"/>
      <c r="I7" s="22" t="inlineStr">
        <is>
          <t>Portugal</t>
        </is>
      </c>
      <c r="J7" s="146" t="n">
        <v>22756726</v>
      </c>
      <c r="K7" s="146" t="n">
        <v>175778725.4</v>
      </c>
      <c r="L7" s="146">
        <f>SUM(J7:K7)</f>
        <v/>
      </c>
      <c r="M7" s="146" t="n">
        <v>17409273.91</v>
      </c>
      <c r="N7" s="146">
        <f>J7+K7+M7</f>
        <v/>
      </c>
      <c r="O7" s="22" t="inlineStr">
        <is>
          <t>RMS IND 0 - Unknown</t>
        </is>
      </c>
      <c r="P7" s="132" t="inlineStr">
        <is>
          <t>RMS IND 1031 - Heavy Industrial Paper &amp; Pulp</t>
        </is>
      </c>
      <c r="Q7" s="25" t="n">
        <v>1989</v>
      </c>
      <c r="R7" s="22" t="inlineStr">
        <is>
          <t>Sonae Client A Mangualde Report 2019</t>
        </is>
      </c>
    </row>
    <row r="8">
      <c r="B8" s="22" t="inlineStr">
        <is>
          <t>Client A</t>
        </is>
      </c>
      <c r="C8" s="22" t="inlineStr">
        <is>
          <t>Sonae Client A Portugal SA</t>
        </is>
      </c>
      <c r="D8" s="22" t="n">
        <v>50</v>
      </c>
      <c r="E8" s="22" t="inlineStr">
        <is>
          <t>Oliveira de Hospital</t>
        </is>
      </c>
      <c r="F8" s="145" t="n">
        <v>40.349553</v>
      </c>
      <c r="G8" s="145" t="n">
        <v>-7.83455</v>
      </c>
      <c r="H8" s="22" t="n"/>
      <c r="I8" s="22" t="inlineStr">
        <is>
          <t>Portugal</t>
        </is>
      </c>
      <c r="J8" s="146" t="n">
        <v>24854236</v>
      </c>
      <c r="K8" s="146" t="n">
        <v>151249175.9</v>
      </c>
      <c r="L8" s="146">
        <f>SUM(J8:K8)</f>
        <v/>
      </c>
      <c r="M8" s="146" t="n">
        <v>26335652.84</v>
      </c>
      <c r="N8" s="146">
        <f>J8+K8+M8</f>
        <v/>
      </c>
      <c r="O8" s="22" t="inlineStr">
        <is>
          <t>RMS IND 0 - Unknown</t>
        </is>
      </c>
      <c r="P8" s="132" t="inlineStr">
        <is>
          <t>RMS IND 1031 - Heavy Industrial Paper &amp; Pulp</t>
        </is>
      </c>
      <c r="Q8" s="25" t="n">
        <v>1974</v>
      </c>
      <c r="R8" s="22" t="inlineStr">
        <is>
          <t>Oliveira do Hospital virtual Survey 2021 Rev2</t>
        </is>
      </c>
    </row>
    <row r="9">
      <c r="B9" s="22" t="inlineStr">
        <is>
          <t>Client A</t>
        </is>
      </c>
      <c r="C9" s="22" t="inlineStr">
        <is>
          <t>EuroresinasIndústrias Quimicas Sa</t>
        </is>
      </c>
      <c r="D9" s="22" t="n">
        <v>51</v>
      </c>
      <c r="E9" s="22" t="inlineStr">
        <is>
          <t>Sines</t>
        </is>
      </c>
      <c r="F9" s="145" t="n">
        <v>37.988463</v>
      </c>
      <c r="G9" s="145" t="n">
        <v>-8.811552000000001</v>
      </c>
      <c r="H9" s="22" t="n"/>
      <c r="I9" s="22" t="inlineStr">
        <is>
          <t>Portugal</t>
        </is>
      </c>
      <c r="J9" s="146" t="n">
        <v>5880070</v>
      </c>
      <c r="K9" s="146" t="n">
        <v>73755771.92</v>
      </c>
      <c r="L9" s="146">
        <f>SUM(J9:K9)</f>
        <v/>
      </c>
      <c r="M9" s="146" t="n">
        <v>9336964.287</v>
      </c>
      <c r="N9" s="146">
        <f>J9+K9+M9</f>
        <v/>
      </c>
      <c r="O9" s="22" t="inlineStr">
        <is>
          <t>RMS IND 0 - Unknown</t>
        </is>
      </c>
      <c r="P9" s="22" t="inlineStr">
        <is>
          <t>RMS IND-2011 - Chemical Processing - Primarily Indoor</t>
        </is>
      </c>
      <c r="Q9" s="25" t="n">
        <v>2001</v>
      </c>
      <c r="R9" s="22" t="inlineStr">
        <is>
          <t>Sonae Client A Euroresinas Sines Report 2019</t>
        </is>
      </c>
    </row>
    <row r="10">
      <c r="B10" s="22" t="inlineStr">
        <is>
          <t>Client A</t>
        </is>
      </c>
      <c r="C10" s="22" t="inlineStr">
        <is>
          <t>Sonae Client A Portugal SA</t>
        </is>
      </c>
      <c r="D10" s="22" t="n">
        <v>52</v>
      </c>
      <c r="E10" s="22" t="inlineStr">
        <is>
          <t>Castelo de Paiva</t>
        </is>
      </c>
      <c r="F10" s="145" t="n">
        <v>41.076664</v>
      </c>
      <c r="G10" s="145" t="n">
        <v>-8.294309</v>
      </c>
      <c r="H10" s="22" t="n"/>
      <c r="I10" s="22" t="inlineStr">
        <is>
          <t>Portugal</t>
        </is>
      </c>
      <c r="J10" s="146" t="n">
        <v>761984.64</v>
      </c>
      <c r="K10" s="146" t="n">
        <v>3471263.36</v>
      </c>
      <c r="L10" s="146">
        <f>SUM(J10:K10)</f>
        <v/>
      </c>
      <c r="M10" s="146" t="n">
        <v>0</v>
      </c>
      <c r="N10" s="146">
        <f>J10+K10+M10</f>
        <v/>
      </c>
      <c r="O10" s="22" t="inlineStr">
        <is>
          <t>RMS IND 0 - Unknown</t>
        </is>
      </c>
      <c r="P10" s="132" t="inlineStr">
        <is>
          <t>RMS IND 1031 - Heavy Industrial Paper &amp; Pulp</t>
        </is>
      </c>
      <c r="Q10" s="25" t="n">
        <v>9999</v>
      </c>
      <c r="R10" s="22" t="n"/>
    </row>
    <row r="11">
      <c r="B11" s="22" t="inlineStr">
        <is>
          <t>Client A</t>
        </is>
      </c>
      <c r="C11" s="22" t="inlineStr">
        <is>
          <t>Sonae Client A Portugal SA</t>
        </is>
      </c>
      <c r="D11" s="22" t="n">
        <v>53</v>
      </c>
      <c r="E11" s="22" t="inlineStr">
        <is>
          <t>Maia</t>
        </is>
      </c>
      <c r="F11" s="145" t="n">
        <v>41.237406</v>
      </c>
      <c r="G11" s="145" t="n">
        <v>-8.639018999999999</v>
      </c>
      <c r="H11" s="22" t="n"/>
      <c r="I11" s="22" t="inlineStr">
        <is>
          <t>Portugal</t>
        </is>
      </c>
      <c r="J11" s="146" t="n">
        <v>2414400</v>
      </c>
      <c r="K11" s="146" t="n">
        <v>0</v>
      </c>
      <c r="L11" s="146">
        <f>SUM(J11:K11)</f>
        <v/>
      </c>
      <c r="M11" s="146" t="n">
        <v>0</v>
      </c>
      <c r="N11" s="146">
        <f>J11+K11+M11</f>
        <v/>
      </c>
      <c r="O11" s="22" t="inlineStr">
        <is>
          <t>RMS 0 - Unknown</t>
        </is>
      </c>
      <c r="P11" s="132" t="inlineStr">
        <is>
          <t>ATC 8 - Professional, Technical &amp; Business Services</t>
        </is>
      </c>
      <c r="Q11" s="25" t="n">
        <v>9999</v>
      </c>
      <c r="R11" s="22" t="n"/>
    </row>
    <row r="12">
      <c r="B12" s="22" t="inlineStr">
        <is>
          <t>Client A</t>
        </is>
      </c>
      <c r="C12" s="22" t="inlineStr">
        <is>
          <t>Ecocilo  Energia e Ambiente SA</t>
        </is>
      </c>
      <c r="D12" s="22" t="n">
        <v>54</v>
      </c>
      <c r="E12" s="22" t="inlineStr">
        <is>
          <t>Alfena</t>
        </is>
      </c>
      <c r="F12" s="145" t="n">
        <v>41.215029</v>
      </c>
      <c r="G12" s="145" t="n">
        <v>-8.527385000000001</v>
      </c>
      <c r="H12" s="22" t="n"/>
      <c r="I12" s="22" t="inlineStr">
        <is>
          <t>Portugal</t>
        </is>
      </c>
      <c r="J12" s="146" t="n">
        <v>160960</v>
      </c>
      <c r="K12" s="146" t="n">
        <v>1388663.817</v>
      </c>
      <c r="L12" s="146">
        <f>SUM(J12:K12)</f>
        <v/>
      </c>
      <c r="M12" s="146" t="n">
        <v>409884.64</v>
      </c>
      <c r="N12" s="146">
        <f>J12+K12+M12</f>
        <v/>
      </c>
      <c r="O12" s="22" t="inlineStr">
        <is>
          <t>RMS IND 0 - Unknown</t>
        </is>
      </c>
      <c r="P12" s="132" t="inlineStr">
        <is>
          <t>RMS IND 1031 - Heavy Industrial Paper &amp; Pulp</t>
        </is>
      </c>
      <c r="Q12" s="25" t="n">
        <v>9999</v>
      </c>
      <c r="R12" s="22" t="n"/>
    </row>
    <row r="13">
      <c r="B13" s="22" t="inlineStr">
        <is>
          <t>Client A</t>
        </is>
      </c>
      <c r="C13" s="22" t="inlineStr">
        <is>
          <t>Sonae Client A Portugal SA</t>
        </is>
      </c>
      <c r="D13" s="22" t="n">
        <v>55</v>
      </c>
      <c r="E13" s="22" t="inlineStr">
        <is>
          <t>Aveiro</t>
        </is>
      </c>
      <c r="F13" s="145" t="n">
        <v>40.656052</v>
      </c>
      <c r="G13" s="145" t="n">
        <v>-8.595154000000001</v>
      </c>
      <c r="H13" s="22" t="n"/>
      <c r="I13" s="22" t="inlineStr">
        <is>
          <t>Portugal</t>
        </is>
      </c>
      <c r="J13" s="146" t="n">
        <v>402400</v>
      </c>
      <c r="K13" s="146" t="n">
        <v>1112441.872</v>
      </c>
      <c r="L13" s="146">
        <f>SUM(J13:K13)</f>
        <v/>
      </c>
      <c r="M13" s="146" t="n">
        <v>0</v>
      </c>
      <c r="N13" s="146">
        <f>J13+K13+M13</f>
        <v/>
      </c>
      <c r="O13" s="22" t="inlineStr">
        <is>
          <t>RMS IND 0 - Unknown</t>
        </is>
      </c>
      <c r="P13" s="132" t="inlineStr">
        <is>
          <t>RMS IND 1031 - Heavy Industrial Paper &amp; Pulp</t>
        </is>
      </c>
      <c r="Q13" s="25" t="n">
        <v>9999</v>
      </c>
      <c r="R13" s="22" t="n"/>
    </row>
    <row r="14">
      <c r="B14" s="22" t="inlineStr">
        <is>
          <t>Client A</t>
        </is>
      </c>
      <c r="C14" s="22" t="inlineStr">
        <is>
          <t>Ecocilo  Energia e Ambiente SA</t>
        </is>
      </c>
      <c r="D14" s="22" t="n">
        <v>56</v>
      </c>
      <c r="E14" s="22" t="inlineStr">
        <is>
          <t>Seixal</t>
        </is>
      </c>
      <c r="F14" s="145" t="n">
        <v>38.602757</v>
      </c>
      <c r="G14" s="145" t="n">
        <v>-9.071593999999999</v>
      </c>
      <c r="H14" s="22" t="n"/>
      <c r="I14" s="22" t="inlineStr">
        <is>
          <t>Portugal</t>
        </is>
      </c>
      <c r="J14" s="146" t="n">
        <v>0</v>
      </c>
      <c r="K14" s="146" t="n">
        <v>1933262.849</v>
      </c>
      <c r="L14" s="146">
        <f>SUM(J14:K14)</f>
        <v/>
      </c>
      <c r="M14" s="146" t="n">
        <v>469256.1042</v>
      </c>
      <c r="N14" s="146">
        <f>J14+K14+M14</f>
        <v/>
      </c>
      <c r="O14" s="22" t="inlineStr">
        <is>
          <t>RMS IND 0 - Unknown</t>
        </is>
      </c>
      <c r="P14" s="132" t="inlineStr">
        <is>
          <t>RMS IND 1031 - Heavy Industrial Paper &amp; Pulp</t>
        </is>
      </c>
      <c r="Q14" s="25" t="n">
        <v>9999</v>
      </c>
      <c r="R14" s="22" t="n"/>
    </row>
    <row r="15">
      <c r="B15" s="22" t="inlineStr">
        <is>
          <t>Client A</t>
        </is>
      </c>
      <c r="C15" s="22" t="inlineStr">
        <is>
          <t>Sonae Client A Portugal SA</t>
        </is>
      </c>
      <c r="D15" s="22" t="n">
        <v>57</v>
      </c>
      <c r="E15" s="22" t="inlineStr">
        <is>
          <t>Seixal2</t>
        </is>
      </c>
      <c r="F15" s="145" t="n">
        <v>38.602757</v>
      </c>
      <c r="G15" s="145" t="n">
        <v>-9.071593999999999</v>
      </c>
      <c r="H15" s="22" t="n"/>
      <c r="I15" s="22" t="inlineStr">
        <is>
          <t>Portugal</t>
        </is>
      </c>
      <c r="J15" s="146" t="n">
        <v>84745.44</v>
      </c>
      <c r="K15" s="146" t="n">
        <v>386062.56</v>
      </c>
      <c r="L15" s="146">
        <f>SUM(J15:K15)</f>
        <v/>
      </c>
      <c r="M15" s="146" t="n">
        <v>0</v>
      </c>
      <c r="N15" s="146">
        <f>J15+K15+M15</f>
        <v/>
      </c>
      <c r="O15" s="22" t="inlineStr">
        <is>
          <t>RMS IND 0 - Unknown</t>
        </is>
      </c>
      <c r="P15" s="132" t="inlineStr">
        <is>
          <t>RMS IND 1031 - Heavy Industrial Paper &amp; Pulp</t>
        </is>
      </c>
      <c r="Q15" s="25" t="n">
        <v>9999</v>
      </c>
      <c r="R15" s="22" t="n"/>
    </row>
    <row r="16">
      <c r="B16" s="22" t="inlineStr">
        <is>
          <t>Client A</t>
        </is>
      </c>
      <c r="C16" s="22" t="inlineStr">
        <is>
          <t>Ecocilo  Energia e Ambiente SA</t>
        </is>
      </c>
      <c r="D16" s="22" t="n">
        <v>58</v>
      </c>
      <c r="E16" s="22" t="inlineStr">
        <is>
          <t>Souselas</t>
        </is>
      </c>
      <c r="F16" s="145" t="n">
        <v>40.28121</v>
      </c>
      <c r="G16" s="145" t="n">
        <v>-8.427797999999999</v>
      </c>
      <c r="H16" s="22" t="inlineStr">
        <is>
          <t>Souselas</t>
        </is>
      </c>
      <c r="I16" s="22" t="inlineStr">
        <is>
          <t>Portugal</t>
        </is>
      </c>
      <c r="J16" s="146" t="n">
        <v>322926</v>
      </c>
      <c r="K16" s="146" t="n">
        <v>4953644.385</v>
      </c>
      <c r="L16" s="146">
        <f>SUM(J16:K16)</f>
        <v/>
      </c>
      <c r="M16" s="146" t="n">
        <v>518833.531</v>
      </c>
      <c r="N16" s="146">
        <f>J16+K16+M16</f>
        <v/>
      </c>
      <c r="O16" s="22" t="inlineStr">
        <is>
          <t>RMS IND 0 - Unknown</t>
        </is>
      </c>
      <c r="P16" s="132" t="inlineStr">
        <is>
          <t>RMS IND 1031 - Heavy Industrial Paper &amp; Pulp</t>
        </is>
      </c>
      <c r="Q16" s="25" t="n">
        <v>9999</v>
      </c>
      <c r="R16" s="22" t="n"/>
    </row>
    <row r="17">
      <c r="B17" s="22" t="inlineStr">
        <is>
          <t>Client A</t>
        </is>
      </c>
      <c r="C17" s="22" t="inlineStr">
        <is>
          <t>Sonae Client A Portugal SA</t>
        </is>
      </c>
      <c r="D17" s="22" t="n">
        <v>59</v>
      </c>
      <c r="E17" s="22" t="inlineStr">
        <is>
          <t>Souselas2</t>
        </is>
      </c>
      <c r="F17" s="145" t="n">
        <v>40.28121</v>
      </c>
      <c r="G17" s="145" t="n">
        <v>-8.427797999999999</v>
      </c>
      <c r="H17" s="22" t="inlineStr">
        <is>
          <t>Souselas</t>
        </is>
      </c>
      <c r="I17" s="22" t="inlineStr">
        <is>
          <t>Portugal</t>
        </is>
      </c>
      <c r="J17" s="146" t="n">
        <v>4049150</v>
      </c>
      <c r="K17" s="146" t="n">
        <v>2464555.493</v>
      </c>
      <c r="L17" s="146">
        <f>SUM(J17:K17)</f>
        <v/>
      </c>
      <c r="M17" s="146" t="n">
        <v>0</v>
      </c>
      <c r="N17" s="146">
        <f>J17+K17+M17</f>
        <v/>
      </c>
      <c r="O17" s="22" t="inlineStr">
        <is>
          <t>RMS IND 0 - Unknown</t>
        </is>
      </c>
      <c r="P17" s="132" t="inlineStr">
        <is>
          <t>RMS IND 1031 - Heavy Industrial Paper &amp; Pulp</t>
        </is>
      </c>
      <c r="Q17" s="25" t="n">
        <v>9999</v>
      </c>
      <c r="R17" s="22" t="n"/>
    </row>
    <row r="18">
      <c r="B18" s="22" t="inlineStr">
        <is>
          <t>Client A</t>
        </is>
      </c>
      <c r="C18" s="22" t="inlineStr">
        <is>
          <t>Sonae Client A Portugal SA</t>
        </is>
      </c>
      <c r="D18" s="22" t="n">
        <v>60</v>
      </c>
      <c r="E18" s="22" t="inlineStr">
        <is>
          <t>Fajilde Wh</t>
        </is>
      </c>
      <c r="F18" s="145" t="n">
        <v>40.628303</v>
      </c>
      <c r="G18" s="145" t="n">
        <v>-7.804914</v>
      </c>
      <c r="H18" s="22" t="inlineStr">
        <is>
          <t>Fagilde</t>
        </is>
      </c>
      <c r="I18" s="22" t="inlineStr">
        <is>
          <t>Portugal</t>
        </is>
      </c>
      <c r="J18" s="146" t="n">
        <v>0</v>
      </c>
      <c r="K18" s="146" t="n">
        <v>781018.444</v>
      </c>
      <c r="L18" s="146">
        <f>SUM(J18:K18)</f>
        <v/>
      </c>
      <c r="M18" s="146" t="n">
        <v>0</v>
      </c>
      <c r="N18" s="146">
        <f>J18+K18+M18</f>
        <v/>
      </c>
      <c r="O18" s="22" t="inlineStr">
        <is>
          <t>RMS IND 0 - Unknown</t>
        </is>
      </c>
      <c r="P18" s="132" t="inlineStr">
        <is>
          <t>RMS IND 1031 - Heavy Industrial Paper &amp; Pulp</t>
        </is>
      </c>
      <c r="Q18" s="25" t="n">
        <v>9999</v>
      </c>
      <c r="R18" s="22" t="n"/>
    </row>
    <row r="19">
      <c r="B19" s="22" t="inlineStr">
        <is>
          <t>Client A</t>
        </is>
      </c>
      <c r="C19" s="22" t="inlineStr">
        <is>
          <t>Sonae Client A Portugal SA</t>
        </is>
      </c>
      <c r="D19" s="22" t="n">
        <v>70</v>
      </c>
      <c r="E19" s="22" t="inlineStr">
        <is>
          <t>São Cosmado II Wh</t>
        </is>
      </c>
      <c r="F19" s="145" t="n">
        <v>40.611812</v>
      </c>
      <c r="G19" s="145" t="n">
        <v>-7.783192</v>
      </c>
      <c r="H19" s="22" t="inlineStr">
        <is>
          <t>São Cosmado</t>
        </is>
      </c>
      <c r="I19" s="22" t="inlineStr">
        <is>
          <t>Portugal</t>
        </is>
      </c>
      <c r="J19" s="146" t="n">
        <v>0</v>
      </c>
      <c r="K19" s="146" t="n">
        <v>1465849.334</v>
      </c>
      <c r="L19" s="146">
        <f>SUM(J19:K19)</f>
        <v/>
      </c>
      <c r="M19" s="146" t="n">
        <v>0</v>
      </c>
      <c r="N19" s="146">
        <f>J19+K19+M19</f>
        <v/>
      </c>
      <c r="O19" s="22" t="inlineStr">
        <is>
          <t>RMS IND 0 - Unknown</t>
        </is>
      </c>
      <c r="P19" s="132" t="inlineStr">
        <is>
          <t>RMS IND 1031 - Heavy Industrial Paper &amp; Pulp</t>
        </is>
      </c>
      <c r="Q19" s="25" t="n">
        <v>9999</v>
      </c>
      <c r="R19" s="22" t="n"/>
    </row>
    <row r="20">
      <c r="B20" s="22" t="inlineStr">
        <is>
          <t>Client A</t>
        </is>
      </c>
      <c r="C20" s="22" t="inlineStr">
        <is>
          <t>Asserraderos de Cuellar SA</t>
        </is>
      </c>
      <c r="D20" s="22" t="n">
        <v>71</v>
      </c>
      <c r="E20" s="22" t="inlineStr">
        <is>
          <t>Cuellar</t>
        </is>
      </c>
      <c r="F20" s="145" t="n">
        <v>41.358943</v>
      </c>
      <c r="G20" s="145" t="n">
        <v>-4.301235</v>
      </c>
      <c r="H20" s="22" t="n"/>
      <c r="I20" s="22" t="inlineStr">
        <is>
          <t>Spain</t>
        </is>
      </c>
      <c r="J20" s="146" t="n">
        <v>3036108</v>
      </c>
      <c r="K20" s="146" t="n">
        <v>27305220.03</v>
      </c>
      <c r="L20" s="146">
        <f>SUM(J20:K20)</f>
        <v/>
      </c>
      <c r="M20" s="146" t="n">
        <v>4084601.544</v>
      </c>
      <c r="N20" s="146">
        <f>J20+K20+M20</f>
        <v/>
      </c>
      <c r="O20" s="22" t="inlineStr">
        <is>
          <t>RMS IND 0 - Unknown</t>
        </is>
      </c>
      <c r="P20" s="132" t="inlineStr">
        <is>
          <t>RMS IND 1031 - Heavy Industrial Paper &amp; Pulp</t>
        </is>
      </c>
      <c r="Q20" s="25" t="n">
        <v>9999</v>
      </c>
      <c r="R20" s="22" t="n"/>
    </row>
    <row r="21">
      <c r="B21" s="22" t="inlineStr">
        <is>
          <t>Client A</t>
        </is>
      </c>
      <c r="C21" s="22" t="inlineStr">
        <is>
          <t>Tecmasa Tecnologias del Medioambiente SA</t>
        </is>
      </c>
      <c r="D21" s="22" t="n">
        <v>72</v>
      </c>
      <c r="E21" s="22" t="inlineStr">
        <is>
          <t>Linares</t>
        </is>
      </c>
      <c r="F21" s="145" t="n">
        <v>38.054947</v>
      </c>
      <c r="G21" s="145" t="n">
        <v>-3.593054</v>
      </c>
      <c r="H21" s="22" t="n"/>
      <c r="I21" s="22" t="inlineStr">
        <is>
          <t>Spain</t>
        </is>
      </c>
      <c r="J21" s="146" t="n">
        <v>0</v>
      </c>
      <c r="K21" s="146" t="n">
        <v>155158.8288</v>
      </c>
      <c r="L21" s="146">
        <f>SUM(J21:K21)</f>
        <v/>
      </c>
      <c r="M21" s="146" t="n">
        <v>392716.4619</v>
      </c>
      <c r="N21" s="146">
        <f>J21+K21+M21</f>
        <v/>
      </c>
      <c r="O21" s="22" t="inlineStr">
        <is>
          <t>RMS IND 0 - Unknown</t>
        </is>
      </c>
      <c r="P21" s="132" t="inlineStr">
        <is>
          <t>RMS IND 1031 - Heavy Industrial Paper &amp; Pulp</t>
        </is>
      </c>
      <c r="Q21" s="25" t="n">
        <v>2001</v>
      </c>
      <c r="R21" s="22" t="inlineStr">
        <is>
          <t>Sonae Client A Linares Report 2019</t>
        </is>
      </c>
    </row>
    <row r="22">
      <c r="B22" s="22" t="inlineStr">
        <is>
          <t>Client A</t>
        </is>
      </c>
      <c r="C22" s="22" t="inlineStr">
        <is>
          <t>Tableros Tradema S L</t>
        </is>
      </c>
      <c r="D22" s="22" t="n">
        <v>73</v>
      </c>
      <c r="E22" s="22" t="inlineStr">
        <is>
          <t>Valladolid</t>
        </is>
      </c>
      <c r="F22" s="145" t="n">
        <v>41.682552</v>
      </c>
      <c r="G22" s="145" t="n">
        <v>-4.719178</v>
      </c>
      <c r="H22" s="22" t="n"/>
      <c r="I22" s="22" t="inlineStr">
        <is>
          <t>Spain</t>
        </is>
      </c>
      <c r="J22" s="146" t="n">
        <v>17930944</v>
      </c>
      <c r="K22" s="146" t="n">
        <v>69960192.03</v>
      </c>
      <c r="L22" s="146">
        <f>SUM(J22:K22)</f>
        <v/>
      </c>
      <c r="M22" s="146" t="n">
        <v>12404636.49</v>
      </c>
      <c r="N22" s="146">
        <f>J22+K22+M22</f>
        <v/>
      </c>
      <c r="O22" s="22" t="inlineStr">
        <is>
          <t>RMS IND 0 - Unknown</t>
        </is>
      </c>
      <c r="P22" s="132" t="inlineStr">
        <is>
          <t>RMS IND 1031 - Heavy Industrial Paper &amp; Pulp</t>
        </is>
      </c>
      <c r="Q22" s="25" t="n">
        <v>1946</v>
      </c>
      <c r="R22" s="22" t="inlineStr">
        <is>
          <t>Sonae Client A Valladolid Report 2019</t>
        </is>
      </c>
    </row>
    <row r="23">
      <c r="B23" s="22" t="inlineStr">
        <is>
          <t>Client A</t>
        </is>
      </c>
      <c r="C23" s="22" t="inlineStr">
        <is>
          <t>Tecmasa Tecnologias del Medioambiente SA</t>
        </is>
      </c>
      <c r="D23" s="22" t="n">
        <v>74</v>
      </c>
      <c r="E23" s="22" t="inlineStr">
        <is>
          <t>Valladolid2</t>
        </is>
      </c>
      <c r="F23" s="145" t="n">
        <v>41.383759</v>
      </c>
      <c r="G23" s="145" t="n">
        <v>-4.687996</v>
      </c>
      <c r="H23" s="22" t="n"/>
      <c r="I23" s="22" t="inlineStr">
        <is>
          <t>Spain</t>
        </is>
      </c>
      <c r="J23" s="146" t="n">
        <v>0</v>
      </c>
      <c r="K23" s="146" t="n">
        <v>2241157.146</v>
      </c>
      <c r="L23" s="146">
        <f>SUM(J23:K23)</f>
        <v/>
      </c>
      <c r="M23" s="146" t="n">
        <v>204285.3969</v>
      </c>
      <c r="N23" s="146">
        <f>J23+K23+M23</f>
        <v/>
      </c>
      <c r="O23" s="22" t="inlineStr">
        <is>
          <t>RMS IND 0 - Unknown</t>
        </is>
      </c>
      <c r="P23" s="132" t="inlineStr">
        <is>
          <t>RMS IND 1031 - Heavy Industrial Paper &amp; Pulp</t>
        </is>
      </c>
      <c r="Q23" s="25" t="n">
        <v>1946</v>
      </c>
      <c r="R23" s="22" t="inlineStr">
        <is>
          <t>Sonae Client A Valladolid Report 2019</t>
        </is>
      </c>
    </row>
    <row r="24">
      <c r="B24" s="22" t="inlineStr">
        <is>
          <t>Client A</t>
        </is>
      </c>
      <c r="C24" s="22" t="inlineStr">
        <is>
          <t>Tecmasa Tecnologias del Medioambiente SA</t>
        </is>
      </c>
      <c r="D24" s="22" t="n">
        <v>75</v>
      </c>
      <c r="E24" s="22" t="inlineStr">
        <is>
          <t>Albacete</t>
        </is>
      </c>
      <c r="F24" s="145" t="n">
        <v>38.796373</v>
      </c>
      <c r="G24" s="145" t="n">
        <v>-1.729274</v>
      </c>
      <c r="H24" s="22" t="n"/>
      <c r="I24" s="22" t="inlineStr">
        <is>
          <t>Spain</t>
        </is>
      </c>
      <c r="J24" s="146" t="n">
        <v>294758</v>
      </c>
      <c r="K24" s="146" t="n">
        <v>1925308.899</v>
      </c>
      <c r="L24" s="146">
        <f>SUM(J24:K24)</f>
        <v/>
      </c>
      <c r="M24" s="146" t="n">
        <v>229244.4028</v>
      </c>
      <c r="N24" s="146">
        <f>J24+K24+M24</f>
        <v/>
      </c>
      <c r="O24" s="22" t="inlineStr">
        <is>
          <t>RMS IND 0 - Unknown</t>
        </is>
      </c>
      <c r="P24" s="132" t="inlineStr">
        <is>
          <t>RMS IND 1031 - Heavy Industrial Paper &amp; Pulp</t>
        </is>
      </c>
      <c r="Q24" s="25" t="n">
        <v>9999</v>
      </c>
      <c r="R24" s="22" t="n"/>
    </row>
    <row r="25">
      <c r="B25" s="22" t="inlineStr">
        <is>
          <t>Client A</t>
        </is>
      </c>
      <c r="C25" s="22" t="inlineStr">
        <is>
          <t>Tecmasa Tecnologias del Medioambiente SA</t>
        </is>
      </c>
      <c r="D25" s="22" t="n">
        <v>76</v>
      </c>
      <c r="E25" s="22" t="inlineStr">
        <is>
          <t>Arganda</t>
        </is>
      </c>
      <c r="F25" s="145" t="n">
        <v>40.271238</v>
      </c>
      <c r="G25" s="145" t="n">
        <v>-3.403348</v>
      </c>
      <c r="H25" s="22" t="n"/>
      <c r="I25" s="22" t="inlineStr">
        <is>
          <t>Spain</t>
        </is>
      </c>
      <c r="J25" s="146" t="n">
        <v>153918</v>
      </c>
      <c r="K25" s="146" t="n">
        <v>2237831.992</v>
      </c>
      <c r="L25" s="146">
        <f>SUM(J25:K25)</f>
        <v/>
      </c>
      <c r="M25" s="146" t="n">
        <v>308680.5151</v>
      </c>
      <c r="N25" s="146">
        <f>J25+K25+M25</f>
        <v/>
      </c>
      <c r="O25" s="22" t="inlineStr">
        <is>
          <t>RMS IND 0 - Unknown</t>
        </is>
      </c>
      <c r="P25" s="132" t="inlineStr">
        <is>
          <t>RMS IND 1031 - Heavy Industrial Paper &amp; Pulp</t>
        </is>
      </c>
      <c r="Q25" s="25" t="n">
        <v>9999</v>
      </c>
      <c r="R25" s="22" t="n"/>
    </row>
    <row r="26">
      <c r="B26" s="22" t="inlineStr">
        <is>
          <t>Client A</t>
        </is>
      </c>
      <c r="C26" s="22" t="inlineStr">
        <is>
          <t>Tecmasa Tecnologias del Medioambiente SA</t>
        </is>
      </c>
      <c r="D26" s="22" t="n">
        <v>78</v>
      </c>
      <c r="E26" s="22" t="inlineStr">
        <is>
          <t>Barberá</t>
        </is>
      </c>
      <c r="F26" s="145" t="n">
        <v>41.515676</v>
      </c>
      <c r="G26" s="145" t="n">
        <v>2.15573</v>
      </c>
      <c r="H26" s="22" t="inlineStr">
        <is>
          <t>Barbera</t>
        </is>
      </c>
      <c r="I26" s="22" t="inlineStr">
        <is>
          <t>Spain</t>
        </is>
      </c>
      <c r="J26" s="146" t="n">
        <v>230374</v>
      </c>
      <c r="K26" s="146" t="n">
        <v>980743.9012</v>
      </c>
      <c r="L26" s="146">
        <f>SUM(J26:K26)</f>
        <v/>
      </c>
      <c r="M26" s="146" t="n">
        <v>259206.8348</v>
      </c>
      <c r="N26" s="146">
        <f>J26+K26+M26</f>
        <v/>
      </c>
      <c r="O26" s="22" t="inlineStr">
        <is>
          <t>RMS IND 0 - Unknown</t>
        </is>
      </c>
      <c r="P26" s="132" t="inlineStr">
        <is>
          <t>RMS IND 1031 - Heavy Industrial Paper &amp; Pulp</t>
        </is>
      </c>
      <c r="Q26" s="25" t="n">
        <v>9999</v>
      </c>
      <c r="R26" s="22" t="n"/>
    </row>
    <row r="27">
      <c r="B27" s="22" t="inlineStr">
        <is>
          <t>Client A</t>
        </is>
      </c>
      <c r="C27" s="22" t="inlineStr">
        <is>
          <t>Tecmasa Tecnologias del Medioambiente SA</t>
        </is>
      </c>
      <c r="D27" s="22" t="n">
        <v>80</v>
      </c>
      <c r="E27" s="22" t="inlineStr">
        <is>
          <t>Fuenlabrada</t>
        </is>
      </c>
      <c r="F27" s="145" t="n">
        <v>40.265393</v>
      </c>
      <c r="G27" s="145" t="n">
        <v>-3.764987</v>
      </c>
      <c r="H27" s="22" t="inlineStr">
        <is>
          <t>Fuenlabrada</t>
        </is>
      </c>
      <c r="I27" s="22" t="inlineStr">
        <is>
          <t>Spain</t>
        </is>
      </c>
      <c r="J27" s="146" t="n">
        <v>557324</v>
      </c>
      <c r="K27" s="146" t="n">
        <v>1850209.171</v>
      </c>
      <c r="L27" s="146">
        <f>SUM(J27:K27)</f>
        <v/>
      </c>
      <c r="M27" s="146" t="n">
        <v>635433.3391</v>
      </c>
      <c r="N27" s="146">
        <f>J27+K27+M27</f>
        <v/>
      </c>
      <c r="O27" s="22" t="inlineStr">
        <is>
          <t>RMS IND 0 - Unknown</t>
        </is>
      </c>
      <c r="P27" s="132" t="inlineStr">
        <is>
          <t>RMS IND 1031 - Heavy Industrial Paper &amp; Pulp</t>
        </is>
      </c>
      <c r="Q27" s="25" t="n">
        <v>9999</v>
      </c>
      <c r="R27" s="22" t="n"/>
    </row>
    <row r="28">
      <c r="B28" s="22" t="inlineStr">
        <is>
          <t>Client A</t>
        </is>
      </c>
      <c r="C28" s="22" t="inlineStr">
        <is>
          <t>Tecmasa Tecnologias del Medioambiente SA</t>
        </is>
      </c>
      <c r="D28" s="22" t="n">
        <v>82</v>
      </c>
      <c r="E28" s="22" t="inlineStr">
        <is>
          <t>Llinars</t>
        </is>
      </c>
      <c r="F28" s="145" t="n">
        <v>41.657551</v>
      </c>
      <c r="G28" s="145" t="n">
        <v>2.428563</v>
      </c>
      <c r="H28" s="22" t="inlineStr">
        <is>
          <t>Llinars</t>
        </is>
      </c>
      <c r="I28" s="22" t="inlineStr">
        <is>
          <t>Spain</t>
        </is>
      </c>
      <c r="J28" s="146" t="n">
        <v>300794</v>
      </c>
      <c r="K28" s="146" t="n">
        <v>4510309.223</v>
      </c>
      <c r="L28" s="146">
        <f>SUM(J28:K28)</f>
        <v/>
      </c>
      <c r="M28" s="146" t="n">
        <v>383500.3384</v>
      </c>
      <c r="N28" s="146">
        <f>J28+K28+M28</f>
        <v/>
      </c>
      <c r="O28" s="22" t="inlineStr">
        <is>
          <t>RMS IND 0 - Unknown</t>
        </is>
      </c>
      <c r="P28" s="132" t="inlineStr">
        <is>
          <t>RMS IND 1031 - Heavy Industrial Paper &amp; Pulp</t>
        </is>
      </c>
      <c r="Q28" s="25" t="n">
        <v>9999</v>
      </c>
      <c r="R28" s="22" t="n"/>
    </row>
    <row r="29">
      <c r="B29" s="22" t="inlineStr">
        <is>
          <t>Client A</t>
        </is>
      </c>
      <c r="C29" s="22" t="inlineStr">
        <is>
          <t>Tecmasa Tecnologias del Medioambiente SA</t>
        </is>
      </c>
      <c r="D29" s="22" t="n">
        <v>84</v>
      </c>
      <c r="E29" s="22" t="inlineStr">
        <is>
          <t>Cantalejo</t>
        </is>
      </c>
      <c r="F29" s="145" t="n">
        <v>41.270588</v>
      </c>
      <c r="G29" s="145" t="n">
        <v>-3.929309</v>
      </c>
      <c r="H29" s="22" t="inlineStr">
        <is>
          <t>Cantalejo</t>
        </is>
      </c>
      <c r="I29" s="22" t="inlineStr">
        <is>
          <t>Spain</t>
        </is>
      </c>
      <c r="J29" s="146" t="n">
        <v>140840</v>
      </c>
      <c r="K29" s="146" t="n">
        <v>1511196.122</v>
      </c>
      <c r="L29" s="146">
        <f>SUM(J29:K29)</f>
        <v/>
      </c>
      <c r="M29" s="146" t="n">
        <v>155653.35</v>
      </c>
      <c r="N29" s="146">
        <f>J29+K29+M29</f>
        <v/>
      </c>
      <c r="O29" s="22" t="inlineStr">
        <is>
          <t>RMS IND 0 - Unknown</t>
        </is>
      </c>
      <c r="P29" s="132" t="inlineStr">
        <is>
          <t>RMS IND 1031 - Heavy Industrial Paper &amp; Pulp</t>
        </is>
      </c>
      <c r="Q29" s="25" t="n">
        <v>9999</v>
      </c>
      <c r="R29" s="22" t="n"/>
    </row>
    <row r="30">
      <c r="B30" s="22" t="inlineStr">
        <is>
          <t>Client A</t>
        </is>
      </c>
      <c r="C30" s="22" t="inlineStr">
        <is>
          <t>Tecmasa Reciclados Andalucia LDA</t>
        </is>
      </c>
      <c r="D30" s="22" t="n">
        <v>86</v>
      </c>
      <c r="E30" s="22" t="inlineStr">
        <is>
          <t>Sevilla</t>
        </is>
      </c>
      <c r="F30" s="145" t="n">
        <v>37.37306226</v>
      </c>
      <c r="G30" s="145" t="n">
        <v>-5.887457726</v>
      </c>
      <c r="H30" s="22" t="inlineStr">
        <is>
          <t>Sevilla</t>
        </is>
      </c>
      <c r="I30" s="22" t="inlineStr">
        <is>
          <t>Spain</t>
        </is>
      </c>
      <c r="J30" s="146" t="n">
        <v>390650.926</v>
      </c>
      <c r="K30" s="146" t="n">
        <v>449543.6134</v>
      </c>
      <c r="L30" s="146">
        <f>SUM(J30:K30)</f>
        <v/>
      </c>
      <c r="M30" s="146" t="n">
        <v>252518.072</v>
      </c>
      <c r="N30" s="146">
        <f>J30+K30+M30</f>
        <v/>
      </c>
      <c r="O30" s="22" t="inlineStr">
        <is>
          <t>RMS IND 0 - Unknown</t>
        </is>
      </c>
      <c r="P30" s="132" t="inlineStr">
        <is>
          <t>RMS IND 1031 - Heavy Industrial Paper &amp; Pulp</t>
        </is>
      </c>
      <c r="Q30" s="25" t="n">
        <v>9999</v>
      </c>
      <c r="R30" s="22" t="n"/>
    </row>
    <row r="31">
      <c r="B31" s="22" t="inlineStr">
        <is>
          <t>Client A</t>
        </is>
      </c>
      <c r="C31" s="22" t="inlineStr">
        <is>
          <t>Tecmasa Tecnologias del Medioambiente SA</t>
        </is>
      </c>
      <c r="D31" s="22" t="n">
        <v>88</v>
      </c>
      <c r="E31" s="22" t="inlineStr">
        <is>
          <t>Alcazren</t>
        </is>
      </c>
      <c r="F31" s="145" t="n">
        <v>41.384184</v>
      </c>
      <c r="G31" s="145" t="n">
        <v>-4.688561</v>
      </c>
      <c r="H31" s="22" t="inlineStr">
        <is>
          <t>Alcazren</t>
        </is>
      </c>
      <c r="I31" s="22" t="inlineStr">
        <is>
          <t>Spain</t>
        </is>
      </c>
      <c r="J31" s="146" t="n">
        <v>0</v>
      </c>
      <c r="K31" s="146" t="n">
        <v>1044847.312</v>
      </c>
      <c r="L31" s="146">
        <f>SUM(J31:K31)</f>
        <v/>
      </c>
      <c r="M31" s="146" t="n">
        <v>465462.78</v>
      </c>
      <c r="N31" s="146">
        <f>J31+K31+M31</f>
        <v/>
      </c>
      <c r="O31" s="22" t="inlineStr">
        <is>
          <t>RMS IND 0 - Unknown</t>
        </is>
      </c>
      <c r="P31" s="132" t="inlineStr">
        <is>
          <t>RMS IND 1031 - Heavy Industrial Paper &amp; Pulp</t>
        </is>
      </c>
      <c r="Q31" s="25" t="n">
        <v>9999</v>
      </c>
      <c r="R31" s="22" t="n"/>
    </row>
    <row r="32">
      <c r="B32" s="22" t="inlineStr">
        <is>
          <t>Client A</t>
        </is>
      </c>
      <c r="C32" s="22" t="inlineStr">
        <is>
          <t>Sonae Client A España</t>
        </is>
      </c>
      <c r="D32" s="22" t="n">
        <v>90</v>
      </c>
      <c r="E32" s="22" t="inlineStr">
        <is>
          <t>Jaen</t>
        </is>
      </c>
      <c r="F32" s="145" t="n">
        <v>38.032703</v>
      </c>
      <c r="G32" s="145" t="n">
        <v>-3.353219</v>
      </c>
      <c r="H32" s="22" t="inlineStr">
        <is>
          <t>Jaen</t>
        </is>
      </c>
      <c r="I32" s="22" t="inlineStr">
        <is>
          <t>Spain</t>
        </is>
      </c>
      <c r="J32" s="146" t="n">
        <v>21033448</v>
      </c>
      <c r="K32" s="146" t="n">
        <v>133631430.3</v>
      </c>
      <c r="L32" s="146">
        <f>SUM(J32:K32)</f>
        <v/>
      </c>
      <c r="M32" s="146" t="n">
        <v>17826708.46</v>
      </c>
      <c r="N32" s="146">
        <f>J32+K32+M32</f>
        <v/>
      </c>
      <c r="O32" s="22" t="inlineStr">
        <is>
          <t>RMS IND 0 - Unknown</t>
        </is>
      </c>
      <c r="P32" s="132" t="inlineStr">
        <is>
          <t>RMS IND 1031 - Heavy Industrial Paper &amp; Pulp</t>
        </is>
      </c>
      <c r="Q32" s="25" t="n">
        <v>9999</v>
      </c>
      <c r="R32" s="22" t="n"/>
    </row>
    <row r="33">
      <c r="B33" s="22" t="inlineStr">
        <is>
          <t>Client A</t>
        </is>
      </c>
      <c r="C33" s="22" t="inlineStr">
        <is>
          <t xml:space="preserve">Sonae Novobord (Pty) Ltd </t>
        </is>
      </c>
      <c r="D33" s="22" t="n">
        <v>92</v>
      </c>
      <c r="E33" s="22" t="inlineStr">
        <is>
          <t>White River</t>
        </is>
      </c>
      <c r="F33" s="145" t="n">
        <v>-25.3792</v>
      </c>
      <c r="G33" s="145" t="n">
        <v>30.984129</v>
      </c>
      <c r="H33" s="22" t="inlineStr">
        <is>
          <t xml:space="preserve">White River </t>
        </is>
      </c>
      <c r="I33" s="22" t="inlineStr">
        <is>
          <t>South Africa</t>
        </is>
      </c>
      <c r="J33" s="146" t="n">
        <v>13507200</v>
      </c>
      <c r="K33" s="146" t="n">
        <v>130200296</v>
      </c>
      <c r="L33" s="146">
        <f>SUM(J33:K33)</f>
        <v/>
      </c>
      <c r="M33" s="146" t="n">
        <v>24143242.63</v>
      </c>
      <c r="N33" s="146">
        <f>J33+K33+M33</f>
        <v/>
      </c>
      <c r="O33" s="22" t="inlineStr">
        <is>
          <t>RMS IND 0 - Unknown</t>
        </is>
      </c>
      <c r="P33" s="132" t="inlineStr">
        <is>
          <t>RMS IND 1031 - Heavy Industrial Paper &amp; Pulp</t>
        </is>
      </c>
      <c r="Q33" s="25" t="n">
        <v>1980</v>
      </c>
      <c r="R33" s="22" t="inlineStr">
        <is>
          <t>Sonae Client A White River 2019 Final</t>
        </is>
      </c>
    </row>
    <row r="34">
      <c r="B34" s="22" t="inlineStr">
        <is>
          <t>Client A</t>
        </is>
      </c>
      <c r="C34" s="22" t="inlineStr">
        <is>
          <t xml:space="preserve">Sonae Novobord (Pty) Ltd </t>
        </is>
      </c>
      <c r="D34" s="22" t="n">
        <v>96</v>
      </c>
      <c r="E34" s="22" t="inlineStr">
        <is>
          <t>Panbult</t>
        </is>
      </c>
      <c r="F34" s="145" t="n">
        <v>-26.812659</v>
      </c>
      <c r="G34" s="145" t="n">
        <v>30.44533</v>
      </c>
      <c r="H34" s="22" t="inlineStr">
        <is>
          <t>Panbult</t>
        </is>
      </c>
      <c r="I34" s="22" t="inlineStr">
        <is>
          <t>South Africa</t>
        </is>
      </c>
      <c r="J34" s="146" t="n">
        <v>8978760</v>
      </c>
      <c r="K34" s="146" t="n">
        <v>4200000</v>
      </c>
      <c r="L34" s="146">
        <f>SUM(J34:K34)</f>
        <v/>
      </c>
      <c r="M34" s="146" t="n">
        <v>0</v>
      </c>
      <c r="N34" s="146">
        <f>J34+K34+M34</f>
        <v/>
      </c>
      <c r="O34" s="22" t="inlineStr">
        <is>
          <t>RMS IND 0 - Unknown</t>
        </is>
      </c>
      <c r="P34" s="132" t="inlineStr">
        <is>
          <t>RMS IND 1031 - Heavy Industrial Paper &amp; Pulp</t>
        </is>
      </c>
      <c r="Q34" s="25" t="n">
        <v>1998</v>
      </c>
      <c r="R34" s="22" t="inlineStr">
        <is>
          <t>Panbult Sonae Client A 2019</t>
        </is>
      </c>
    </row>
    <row r="35">
      <c r="B35" s="22" t="inlineStr">
        <is>
          <t>Client A</t>
        </is>
      </c>
      <c r="C35" s="22" t="inlineStr">
        <is>
          <t>Sonae Client A Beeskow GmbH</t>
        </is>
      </c>
      <c r="D35" s="22" t="n">
        <v>98</v>
      </c>
      <c r="E35" s="22" t="inlineStr">
        <is>
          <t>Beeskow</t>
        </is>
      </c>
      <c r="F35" s="145" t="n">
        <v>52.18113</v>
      </c>
      <c r="G35" s="145" t="n">
        <v>14.252661</v>
      </c>
      <c r="H35" s="22" t="inlineStr">
        <is>
          <t>Beeskow</t>
        </is>
      </c>
      <c r="I35" s="22" t="inlineStr">
        <is>
          <t>Germany</t>
        </is>
      </c>
      <c r="J35" s="146" t="n">
        <v>67266190</v>
      </c>
      <c r="K35" s="146" t="n">
        <v>271923796.6</v>
      </c>
      <c r="L35" s="146">
        <f>SUM(J35:K35)</f>
        <v/>
      </c>
      <c r="M35" s="146" t="n">
        <v>45511171.64</v>
      </c>
      <c r="N35" s="146">
        <f>J35+K35+M35</f>
        <v/>
      </c>
      <c r="O35" s="22" t="inlineStr">
        <is>
          <t>RMS IND 0 - Unknown</t>
        </is>
      </c>
      <c r="P35" s="132" t="inlineStr">
        <is>
          <t>RMS IND 1031 - Heavy Industrial Paper &amp; Pulp</t>
        </is>
      </c>
      <c r="Q35" s="25" t="n">
        <v>1965</v>
      </c>
      <c r="R35" s="22" t="inlineStr">
        <is>
          <t>Sonae Client A Beeskow Report 2019</t>
        </is>
      </c>
    </row>
    <row r="36">
      <c r="B36" s="22" t="inlineStr">
        <is>
          <t>Client A</t>
        </is>
      </c>
      <c r="C36" s="22" t="inlineStr">
        <is>
          <t>Sonae Client A Deuthscland GmbH</t>
        </is>
      </c>
      <c r="D36" s="22" t="n">
        <v>100</v>
      </c>
      <c r="E36" s="22" t="inlineStr">
        <is>
          <t>Kaisersesch</t>
        </is>
      </c>
      <c r="F36" s="145" t="n">
        <v>50.237057</v>
      </c>
      <c r="G36" s="145" t="n">
        <v>7.161073</v>
      </c>
      <c r="H36" s="22" t="inlineStr">
        <is>
          <t xml:space="preserve">Kaisersesch </t>
        </is>
      </c>
      <c r="I36" s="22" t="inlineStr">
        <is>
          <t>Germany</t>
        </is>
      </c>
      <c r="J36" s="146" t="n">
        <v>0</v>
      </c>
      <c r="K36" s="146" t="n">
        <v>1775590</v>
      </c>
      <c r="L36" s="146">
        <f>SUM(J36:K36)</f>
        <v/>
      </c>
      <c r="M36" s="146" t="n">
        <v>0</v>
      </c>
      <c r="N36" s="146">
        <f>J36+K36+M36</f>
        <v/>
      </c>
      <c r="O36" s="22" t="inlineStr">
        <is>
          <t>RMS IND 0 - Unknown</t>
        </is>
      </c>
      <c r="P36" s="132" t="inlineStr">
        <is>
          <t>RMS IND 1031 - Heavy Industrial Paper &amp; Pulp</t>
        </is>
      </c>
      <c r="Q36" s="25" t="n">
        <v>9999</v>
      </c>
      <c r="R36" s="22" t="n"/>
    </row>
    <row r="37">
      <c r="B37" s="22" t="inlineStr">
        <is>
          <t>Client A</t>
        </is>
      </c>
      <c r="C37" s="22" t="inlineStr">
        <is>
          <t>Sonae Client A Deuthscland GmbH</t>
        </is>
      </c>
      <c r="D37" s="22" t="n">
        <v>102</v>
      </c>
      <c r="E37" s="22" t="inlineStr">
        <is>
          <t>Meppen</t>
        </is>
      </c>
      <c r="F37" s="145" t="n">
        <v>52.706796</v>
      </c>
      <c r="G37" s="145" t="n">
        <v>7.36188</v>
      </c>
      <c r="H37" s="22" t="inlineStr">
        <is>
          <t>Meppen</t>
        </is>
      </c>
      <c r="I37" s="22" t="inlineStr">
        <is>
          <t>Germany</t>
        </is>
      </c>
      <c r="J37" s="146" t="n">
        <v>41782198</v>
      </c>
      <c r="K37" s="146" t="n">
        <v>140941607.2</v>
      </c>
      <c r="L37" s="146">
        <f>SUM(J37:K37)</f>
        <v/>
      </c>
      <c r="M37" s="146" t="n">
        <v>20757743.92</v>
      </c>
      <c r="N37" s="146">
        <f>J37+K37+M37</f>
        <v/>
      </c>
      <c r="O37" s="22" t="inlineStr">
        <is>
          <t>RMS IND 0 - Unknown</t>
        </is>
      </c>
      <c r="P37" s="132" t="inlineStr">
        <is>
          <t>RMS IND 1031 - Heavy Industrial Paper &amp; Pulp</t>
        </is>
      </c>
      <c r="Q37" s="25" t="n">
        <v>1961</v>
      </c>
      <c r="R37" s="22" t="inlineStr">
        <is>
          <t>Sonae Client A Meppen Report 2019</t>
        </is>
      </c>
    </row>
    <row r="38">
      <c r="B38" s="22" t="inlineStr">
        <is>
          <t>Client A</t>
        </is>
      </c>
      <c r="C38" s="22" t="inlineStr">
        <is>
          <t>Sonae Client A Deuthscland GmbH</t>
        </is>
      </c>
      <c r="D38" s="22" t="n">
        <v>104</v>
      </c>
      <c r="E38" s="22" t="inlineStr">
        <is>
          <t>Nettgau</t>
        </is>
      </c>
      <c r="F38" s="145" t="n">
        <v>52.655692</v>
      </c>
      <c r="G38" s="145" t="n">
        <v>10.906894</v>
      </c>
      <c r="H38" s="22" t="inlineStr">
        <is>
          <t>Nettgau</t>
        </is>
      </c>
      <c r="I38" s="22" t="inlineStr">
        <is>
          <t>Germany</t>
        </is>
      </c>
      <c r="J38" s="146" t="n">
        <v>68699740</v>
      </c>
      <c r="K38" s="146" t="n">
        <v>289746675.1</v>
      </c>
      <c r="L38" s="146">
        <f>SUM(J38:K38)</f>
        <v/>
      </c>
      <c r="M38" s="146" t="n">
        <v>60523863.99</v>
      </c>
      <c r="N38" s="146">
        <f>J38+K38+M38</f>
        <v/>
      </c>
      <c r="O38" s="22" t="inlineStr">
        <is>
          <t>RMS IND 0 - Unknown</t>
        </is>
      </c>
      <c r="P38" s="132" t="inlineStr">
        <is>
          <t>RMS IND 1031 - Heavy Industrial Paper &amp; Pulp</t>
        </is>
      </c>
      <c r="Q38" s="25" t="n">
        <v>2001</v>
      </c>
      <c r="R38" s="22" t="inlineStr">
        <is>
          <t>Sonae Client A Nettgau Report 2019</t>
        </is>
      </c>
    </row>
    <row r="39">
      <c r="B39" s="22" t="inlineStr">
        <is>
          <t>Client A</t>
        </is>
      </c>
      <c r="C39" s="22" t="inlineStr">
        <is>
          <t>Impaper Europe GmbH</t>
        </is>
      </c>
      <c r="D39" s="22" t="n">
        <v>106</v>
      </c>
      <c r="E39" s="22" t="inlineStr">
        <is>
          <t>Impaper</t>
        </is>
      </c>
      <c r="F39" s="145" t="n">
        <v>50.237057</v>
      </c>
      <c r="G39" s="145" t="n">
        <v>7.161073</v>
      </c>
      <c r="H39" s="22" t="n"/>
      <c r="I39" s="22" t="inlineStr">
        <is>
          <t>Germany</t>
        </is>
      </c>
      <c r="J39" s="146" t="n">
        <v>14079271.8</v>
      </c>
      <c r="K39" s="146" t="n">
        <v>40915958.37</v>
      </c>
      <c r="L39" s="146">
        <f>SUM(J39:K39)</f>
        <v/>
      </c>
      <c r="M39" s="146" t="n">
        <v>6288551.13</v>
      </c>
      <c r="N39" s="146">
        <f>J39+K39+M39</f>
        <v/>
      </c>
      <c r="O39" s="22" t="inlineStr">
        <is>
          <t>RMS IND 0 - Unknown</t>
        </is>
      </c>
      <c r="P39" s="132" t="inlineStr">
        <is>
          <t>RMS IND 1031 - Heavy Industrial Paper &amp; Pulp</t>
        </is>
      </c>
      <c r="Q39" s="25" t="n">
        <v>9999</v>
      </c>
      <c r="R39" s="22" t="n"/>
    </row>
    <row r="40">
      <c r="B40" s="22" t="inlineStr">
        <is>
          <t>Client A</t>
        </is>
      </c>
      <c r="C40" s="22" t="inlineStr">
        <is>
          <t>Sonae Client A Deuthscland GmbH</t>
        </is>
      </c>
      <c r="D40" s="22" t="n">
        <v>109</v>
      </c>
      <c r="E40" s="22" t="inlineStr">
        <is>
          <t>Hildesheim Wh</t>
        </is>
      </c>
      <c r="F40" s="145" t="n">
        <v>52.16669047</v>
      </c>
      <c r="G40" s="145" t="n">
        <v>9.994716729</v>
      </c>
      <c r="H40" s="22" t="inlineStr">
        <is>
          <t>Hildesheim</t>
        </is>
      </c>
      <c r="I40" s="22" t="inlineStr">
        <is>
          <t>Germany</t>
        </is>
      </c>
      <c r="J40" s="146" t="n">
        <v>0</v>
      </c>
      <c r="K40" s="146" t="n">
        <v>594139.3959</v>
      </c>
      <c r="L40" s="146">
        <f>SUM(J40:K40)</f>
        <v/>
      </c>
      <c r="M40" s="146" t="n">
        <v>0</v>
      </c>
      <c r="N40" s="146">
        <f>J40+K40+M40</f>
        <v/>
      </c>
      <c r="O40" s="22" t="inlineStr">
        <is>
          <t>RMS IND 0 - Unknown</t>
        </is>
      </c>
      <c r="P40" s="132" t="inlineStr">
        <is>
          <t>RMS IND 1031 - Heavy Industrial Paper &amp; Pulp</t>
        </is>
      </c>
      <c r="Q40" s="25" t="n">
        <v>9999</v>
      </c>
      <c r="R40" s="22" t="n"/>
    </row>
  </sheetData>
  <autoFilter ref="B6:R40"/>
  <mergeCells count="2">
    <mergeCell ref="D5:G5"/>
    <mergeCell ref="B4:G4"/>
  </mergeCells>
  <pageMargins left="1" right="1" top="1" bottom="1" header="1" footer="1"/>
  <pageSetup orientation="portrait" horizontalDpi="300" verticalDpi="300"/>
</worksheet>
</file>

<file path=xl/worksheets/sheet4.xml><?xml version="1.0" encoding="utf-8"?>
<worksheet xmlns="http://schemas.openxmlformats.org/spreadsheetml/2006/main">
  <sheetPr>
    <outlinePr summaryBelow="1" summaryRight="1"/>
    <pageSetUpPr/>
  </sheetPr>
  <dimension ref="A1:C154"/>
  <sheetViews>
    <sheetView showGridLines="0" tabSelected="1" workbookViewId="0">
      <selection activeCell="A1" sqref="A1"/>
    </sheetView>
  </sheetViews>
  <sheetFormatPr baseColWidth="8" defaultRowHeight="15"/>
  <cols>
    <col width="8.5703125" customWidth="1" style="133" min="1" max="1"/>
    <col width="33.42578125" customWidth="1" style="133" min="2" max="2"/>
    <col width="75.140625" customWidth="1" style="133" min="3" max="3"/>
    <col width="9.5703125" customWidth="1" style="133" min="4" max="4"/>
    <col width="255" customWidth="1" style="133" min="5" max="5"/>
  </cols>
  <sheetData>
    <row r="1" ht="22.5" customHeight="1" s="133"/>
    <row r="2" ht="15" customHeight="1" s="133">
      <c r="B2" s="131" t="n"/>
    </row>
    <row r="3" ht="22.7" customHeight="1" s="133"/>
    <row r="4" ht="26.25" customHeight="1" s="133">
      <c r="B4" s="16" t="inlineStr">
        <is>
          <t>Glossary</t>
        </is>
      </c>
      <c r="C4" s="121" t="inlineStr"/>
    </row>
    <row r="5">
      <c r="B5" s="18" t="inlineStr"/>
      <c r="C5" s="18" t="inlineStr"/>
    </row>
    <row r="6" ht="15.75" customHeight="1" s="133">
      <c r="B6" s="19" t="inlineStr">
        <is>
          <t>General</t>
        </is>
      </c>
      <c r="C6" s="125" t="inlineStr"/>
    </row>
    <row r="7" ht="15.75" customHeight="1" s="133">
      <c r="B7" s="19" t="inlineStr"/>
      <c r="C7" s="125" t="inlineStr"/>
    </row>
    <row r="8" ht="25.5" customHeight="1" s="133">
      <c r="B8" s="19" t="inlineStr">
        <is>
          <t>TIV</t>
        </is>
      </c>
      <c r="C8" s="125" t="inlineStr">
        <is>
          <t>The Total Insured Value (TIV) is the sum of the replacement cost for a particular location.</t>
        </is>
      </c>
    </row>
    <row r="9" ht="15.75" customHeight="1" s="133">
      <c r="B9" s="19" t="inlineStr"/>
      <c r="C9" s="125" t="inlineStr"/>
    </row>
    <row r="10" ht="51" customHeight="1" s="133">
      <c r="B10" s="19" t="inlineStr">
        <is>
          <t>Undefined</t>
        </is>
      </c>
      <c r="C10" s="125" t="inlineStr">
        <is>
          <t xml:space="preserve">A zonation is unable to be applied. This may appear in the California earthquake or Wind Tier tables and represents amount of exposure in California or within the Wind Tier that failed to geocode to county level or better. It also appears in the FEMA flood table where the locations failed to geocode to street address level or better. </t>
        </is>
      </c>
    </row>
    <row r="11" ht="15.75" customHeight="1" s="133">
      <c r="B11" s="19" t="inlineStr"/>
      <c r="C11" s="125" t="inlineStr"/>
    </row>
    <row r="12" ht="25.5" customHeight="1" s="133">
      <c r="B12" s="19" t="inlineStr">
        <is>
          <t>Willis All Risks Form</t>
        </is>
      </c>
      <c r="C12" s="125" t="inlineStr">
        <is>
          <t>The Broker approved high hazard definition wording used in Market Reform Contracts.</t>
        </is>
      </c>
    </row>
    <row r="13" ht="15.75" customHeight="1" s="133">
      <c r="B13" s="19" t="inlineStr"/>
      <c r="C13" s="125" t="inlineStr"/>
    </row>
    <row r="14" ht="15.75" customHeight="1" s="133">
      <c r="B14" s="19" t="inlineStr">
        <is>
          <t>Modifiers</t>
        </is>
      </c>
      <c r="C14" s="125" t="inlineStr"/>
    </row>
    <row r="15" ht="15.75" customHeight="1" s="133">
      <c r="B15" s="19" t="inlineStr"/>
      <c r="C15" s="125" t="inlineStr"/>
    </row>
    <row r="16">
      <c r="B16" s="19" t="inlineStr">
        <is>
          <t>Modifiers</t>
        </is>
      </c>
      <c r="C16" s="125" t="inlineStr">
        <is>
          <t>Fields used to capture key building attribute information:</t>
        </is>
      </c>
    </row>
    <row r="17" ht="15.75" customHeight="1" s="133">
      <c r="B17" s="19" t="inlineStr"/>
      <c r="C17" s="125" t="inlineStr"/>
    </row>
    <row r="18">
      <c r="B18" s="19" t="inlineStr">
        <is>
          <t>Primary Modifiers</t>
        </is>
      </c>
      <c r="C18" s="125" t="inlineStr"/>
    </row>
    <row r="19" ht="15.75" customHeight="1" s="133">
      <c r="B19" s="19" t="inlineStr"/>
      <c r="C19" s="125" t="inlineStr"/>
    </row>
    <row r="20">
      <c r="B20" s="19" t="inlineStr">
        <is>
          <t>RMS Construction</t>
        </is>
      </c>
      <c r="C20" s="125" t="inlineStr">
        <is>
          <t>Combination of construction schema and class number for the construction scheme.</t>
        </is>
      </c>
    </row>
    <row r="21" ht="15.75" customHeight="1" s="133">
      <c r="B21" s="19" t="inlineStr"/>
      <c r="C21" s="125" t="inlineStr"/>
    </row>
    <row r="22">
      <c r="B22" s="19" t="inlineStr">
        <is>
          <t>RMS Occupancy</t>
        </is>
      </c>
      <c r="C22" s="125" t="inlineStr">
        <is>
          <t>Combination of occupancy schema and type number for the occupancy scheme.</t>
        </is>
      </c>
    </row>
    <row r="23" ht="15.75" customHeight="1" s="133">
      <c r="B23" s="19" t="inlineStr"/>
      <c r="C23" s="125" t="inlineStr"/>
    </row>
    <row r="24">
      <c r="B24" s="19" t="inlineStr">
        <is>
          <t>Year Built</t>
        </is>
      </c>
      <c r="C24" s="125" t="inlineStr">
        <is>
          <t>year in which the structure was constructed.</t>
        </is>
      </c>
    </row>
    <row r="25" ht="15.75" customHeight="1" s="133">
      <c r="B25" s="19" t="inlineStr"/>
      <c r="C25" s="125" t="inlineStr"/>
    </row>
    <row r="26">
      <c r="B26" s="19" t="inlineStr">
        <is>
          <t>Number Of Floors</t>
        </is>
      </c>
      <c r="C26" s="125" t="inlineStr">
        <is>
          <t>Number of stories for the structure.</t>
        </is>
      </c>
    </row>
    <row r="27" ht="15.75" customHeight="1" s="133">
      <c r="B27" s="19" t="inlineStr"/>
      <c r="C27" s="125" t="inlineStr"/>
    </row>
    <row r="28">
      <c r="B28" s="19" t="inlineStr">
        <is>
          <t>Floor Area</t>
        </is>
      </c>
      <c r="C28" s="125" t="inlineStr">
        <is>
          <t>Represents total area, across all floors, in square feet. Excludes property in the open.</t>
        </is>
      </c>
    </row>
    <row r="29" ht="15.75" customHeight="1" s="133">
      <c r="B29" s="19" t="inlineStr"/>
      <c r="C29" s="125" t="inlineStr"/>
    </row>
    <row r="30">
      <c r="B30" s="19" t="inlineStr">
        <is>
          <t>Year Of Retrofit</t>
        </is>
      </c>
      <c r="C30" s="125" t="inlineStr">
        <is>
          <t>Year when property brought up to modern peril related building codes.</t>
        </is>
      </c>
    </row>
    <row r="31" ht="15.75" customHeight="1" s="133">
      <c r="B31" s="19" t="inlineStr"/>
      <c r="C31" s="125" t="inlineStr"/>
    </row>
    <row r="32">
      <c r="B32" s="19" t="inlineStr">
        <is>
          <t>Number Of Buildings</t>
        </is>
      </c>
      <c r="C32" s="125" t="inlineStr">
        <is>
          <t>Number of buildings at the location.</t>
        </is>
      </c>
    </row>
    <row r="33" ht="15.75" customHeight="1" s="133">
      <c r="B33" s="19" t="inlineStr"/>
      <c r="C33" s="125" t="inlineStr"/>
    </row>
    <row r="34" ht="25.5" customHeight="1" s="133">
      <c r="B34" s="19" t="inlineStr">
        <is>
          <t>Contents Rate Grade</t>
        </is>
      </c>
      <c r="C34" s="125" t="inlineStr">
        <is>
          <t>A rating of the fragility of the contents and is relevant for earthquake (potential building collapse) and windstorm (water damage). Based on ISO Contents Rate Grade.</t>
        </is>
      </c>
    </row>
    <row r="35" ht="15.75" customHeight="1" s="133">
      <c r="B35" s="19" t="inlineStr"/>
      <c r="C35" s="125" t="inlineStr"/>
    </row>
    <row r="36">
      <c r="B36" s="19" t="inlineStr">
        <is>
          <t>Contents Loss Trigger</t>
        </is>
      </c>
      <c r="C36" s="125" t="inlineStr">
        <is>
          <t>Indicates presence of mini or wrap around policies.</t>
        </is>
      </c>
    </row>
    <row r="37" ht="15.75" customHeight="1" s="133">
      <c r="B37" s="19" t="inlineStr"/>
      <c r="C37" s="125" t="inlineStr"/>
    </row>
    <row r="38">
      <c r="B38" s="19" t="inlineStr">
        <is>
          <t>Wind Modifiers</t>
        </is>
      </c>
      <c r="C38" s="125" t="inlineStr"/>
    </row>
    <row r="39" ht="15.75" customHeight="1" s="133">
      <c r="B39" s="19" t="inlineStr"/>
      <c r="C39" s="125" t="inlineStr"/>
    </row>
    <row r="40" ht="25.5" customHeight="1" s="133">
      <c r="B40" s="19" t="inlineStr">
        <is>
          <t>Roof Covering</t>
        </is>
      </c>
      <c r="C40" s="125" t="inlineStr">
        <is>
          <t>Indicates the presence of roof covering that affects losses depending on the uplift resistance of the roof cover elements and their replacement cost.</t>
        </is>
      </c>
    </row>
    <row r="41" ht="15.75" customHeight="1" s="133">
      <c r="B41" s="19" t="inlineStr"/>
      <c r="C41" s="125" t="inlineStr"/>
    </row>
    <row r="42" ht="25.5" customHeight="1" s="133">
      <c r="B42" s="19" t="inlineStr">
        <is>
          <t>Roof Geometry</t>
        </is>
      </c>
      <c r="C42" s="125" t="inlineStr">
        <is>
          <t>The shape of the roof which determines the magnitude and extent of wind forces experienced.</t>
        </is>
      </c>
    </row>
    <row r="43" ht="15.75" customHeight="1" s="133">
      <c r="B43" s="19" t="inlineStr"/>
      <c r="C43" s="125" t="inlineStr"/>
    </row>
    <row r="44" ht="25.5" customHeight="1" s="133">
      <c r="B44" s="19" t="inlineStr">
        <is>
          <t>Roof Anchor</t>
        </is>
      </c>
      <c r="C44" s="125" t="inlineStr">
        <is>
          <t>Indicates the presence of anchors. The absence of anchors may result in a roof being blown off and catastrophic damage in hurricanes and tornados.</t>
        </is>
      </c>
    </row>
    <row r="45" ht="15.75" customHeight="1" s="133">
      <c r="B45" s="19" t="inlineStr"/>
      <c r="C45" s="125" t="inlineStr"/>
    </row>
    <row r="46" ht="25.5" customHeight="1" s="133">
      <c r="B46" s="19" t="inlineStr">
        <is>
          <t>Roof Age</t>
        </is>
      </c>
      <c r="C46" s="125" t="inlineStr">
        <is>
          <t>Indicates the age/condition of the roof which impacts how the roof will perform in high wind conditions.</t>
        </is>
      </c>
    </row>
    <row r="47" ht="15.75" customHeight="1" s="133">
      <c r="B47" s="19" t="inlineStr"/>
      <c r="C47" s="125" t="inlineStr"/>
    </row>
    <row r="48" ht="25.5" customHeight="1" s="133">
      <c r="B48" s="19" t="inlineStr">
        <is>
          <t>Roof Sheathing Attachment</t>
        </is>
      </c>
      <c r="C48" s="125" t="inlineStr">
        <is>
          <t>Helps to maintain the integrity of the building and is a major line of defence against losses from wind and rain.</t>
        </is>
      </c>
    </row>
    <row r="49" ht="15.75" customHeight="1" s="133">
      <c r="B49" s="19" t="inlineStr"/>
      <c r="C49" s="125" t="inlineStr"/>
    </row>
    <row r="50" ht="25.5" customHeight="1" s="133">
      <c r="B50" s="19" t="inlineStr">
        <is>
          <t>Roof Equipment</t>
        </is>
      </c>
      <c r="C50" s="125" t="inlineStr">
        <is>
          <t>Captures the presence of roof top equipment (include condensers for air conditioning units, associated duct work, solar panels, etc.).</t>
        </is>
      </c>
    </row>
    <row r="51" ht="15.75" customHeight="1" s="133">
      <c r="B51" s="19" t="inlineStr"/>
      <c r="C51" s="125" t="inlineStr"/>
    </row>
    <row r="52" ht="38.25" customHeight="1" s="133">
      <c r="B52" s="19" t="inlineStr">
        <is>
          <t>Opening Protection</t>
        </is>
      </c>
      <c r="C52" s="125" t="inlineStr">
        <is>
          <t>Captures the presence of windows and doors with poor wind resistance that can expose interior building components and contents to high wind and water damage and also lead to complete roof lift off.</t>
        </is>
      </c>
    </row>
    <row r="53" ht="15.75" customHeight="1" s="133">
      <c r="B53" s="19" t="inlineStr"/>
      <c r="C53" s="125" t="inlineStr"/>
    </row>
    <row r="54">
      <c r="B54" s="19" t="inlineStr">
        <is>
          <t>Wind Construction Quality</t>
        </is>
      </c>
      <c r="C54" s="125" t="inlineStr">
        <is>
          <t>Indicates the quality of the workmanship or use of construction materials.</t>
        </is>
      </c>
    </row>
    <row r="55" ht="15.75" customHeight="1" s="133">
      <c r="B55" s="19" t="inlineStr"/>
      <c r="C55" s="125" t="inlineStr"/>
    </row>
    <row r="56" ht="38.25" customHeight="1" s="133">
      <c r="B56" s="19" t="inlineStr">
        <is>
          <t>Commercial Appurtenant Structures</t>
        </is>
      </c>
      <c r="C56" s="125" t="inlineStr">
        <is>
          <t>Captures roof elements or structural elements of a commercial building that can be blown away. Examples include satellite dishes, solar panels, antennas, exterior light fixtures, signs, billboards, etc.</t>
        </is>
      </c>
    </row>
    <row r="57" ht="15.75" customHeight="1" s="133">
      <c r="B57" s="19" t="inlineStr"/>
      <c r="C57" s="125" t="inlineStr"/>
    </row>
    <row r="58" ht="25.5" customHeight="1" s="133">
      <c r="B58" s="19" t="inlineStr">
        <is>
          <t>Frame Foundation</t>
        </is>
      </c>
      <c r="C58" s="125" t="inlineStr">
        <is>
          <t>Captures the presence of improperly constructed foundations that may lead to catastrophic failure of buildings in windstorms.</t>
        </is>
      </c>
    </row>
    <row r="59" ht="15.75" customHeight="1" s="133">
      <c r="B59" s="19" t="inlineStr"/>
      <c r="C59" s="125" t="inlineStr"/>
    </row>
    <row r="60">
      <c r="B60" s="19" t="inlineStr">
        <is>
          <t>Basement</t>
        </is>
      </c>
      <c r="C60" s="125" t="inlineStr">
        <is>
          <t>Represents the level of flood protection for basements.</t>
        </is>
      </c>
    </row>
    <row r="61" ht="15.75" customHeight="1" s="133">
      <c r="B61" s="19" t="inlineStr"/>
      <c r="C61" s="125" t="inlineStr"/>
    </row>
    <row r="62" ht="38.25" customHeight="1" s="133">
      <c r="B62" s="19" t="inlineStr">
        <is>
          <t>Flashing Quality</t>
        </is>
      </c>
      <c r="C62" s="125" t="inlineStr">
        <is>
          <t>Flashing refers to thin continuous sheet metal or other water impervious material installed to prevent the passage of water into a structure where there is an abrupt change in roof geometry such as mechanical openings.</t>
        </is>
      </c>
    </row>
    <row r="63" ht="15.75" customHeight="1" s="133">
      <c r="B63" s="19" t="inlineStr"/>
      <c r="C63" s="125" t="inlineStr"/>
    </row>
    <row r="64" ht="25.5" customHeight="1" s="133">
      <c r="B64" s="19" t="inlineStr">
        <is>
          <t>Wind Cladding Type</t>
        </is>
      </c>
      <c r="C64" s="125" t="inlineStr">
        <is>
          <t>Captures the presence of cladding elements which is a covering or coating on a structure.</t>
        </is>
      </c>
    </row>
    <row r="65" ht="15.75" customHeight="1" s="133">
      <c r="B65" s="19" t="inlineStr"/>
      <c r="C65" s="125" t="inlineStr"/>
    </row>
    <row r="66" ht="38.25" customHeight="1" s="133">
      <c r="B66" s="19" t="inlineStr">
        <is>
          <t>Residential Appurtenant Structures</t>
        </is>
      </c>
      <c r="C66" s="125" t="inlineStr">
        <is>
          <t>Captures the presence of appurtenant structures, such as overhangs and carports that often perform poorly in high winds and may cause breach in the envelope of residential buildings.</t>
        </is>
      </c>
    </row>
    <row r="67" ht="15.75" customHeight="1" s="133">
      <c r="B67" s="19" t="inlineStr"/>
      <c r="C67" s="125" t="inlineStr"/>
    </row>
    <row r="68" ht="38.25" customHeight="1" s="133">
      <c r="B68" s="19" t="inlineStr">
        <is>
          <t>Ground Level Equipment</t>
        </is>
      </c>
      <c r="C68" s="125" t="inlineStr">
        <is>
          <t>Ground level equipment includes electrical, gas and water meters, and exterior access points for cable and telephone systems are prone to damage from flooding if not elevated or otherwise protected.</t>
        </is>
      </c>
    </row>
    <row r="69" ht="15.75" customHeight="1" s="133">
      <c r="B69" s="19" t="inlineStr"/>
      <c r="C69" s="125" t="inlineStr"/>
    </row>
    <row r="70" ht="38.25" customHeight="1" s="133">
      <c r="B70" s="19" t="inlineStr">
        <is>
          <t>Design Code</t>
        </is>
      </c>
      <c r="C70" s="125" t="inlineStr">
        <is>
          <t>A location level, cause of loss flag to control whether wind, surge, or wind+surge losses are returned for a given location analysed by the North Atlantic Hurricane storm surge model.</t>
        </is>
      </c>
    </row>
    <row r="71" ht="15.75" customHeight="1" s="133">
      <c r="B71" s="19" t="inlineStr"/>
      <c r="C71" s="125" t="inlineStr"/>
    </row>
    <row r="72">
      <c r="B72" s="19" t="inlineStr">
        <is>
          <t>Earthquake Modifiers</t>
        </is>
      </c>
      <c r="C72" s="125" t="inlineStr"/>
    </row>
    <row r="73" ht="15.75" customHeight="1" s="133">
      <c r="B73" s="19" t="inlineStr"/>
      <c r="C73" s="125" t="inlineStr"/>
    </row>
    <row r="74" ht="25.5" customHeight="1" s="133">
      <c r="B74" s="19" t="inlineStr">
        <is>
          <t>EQ Cladding Type</t>
        </is>
      </c>
      <c r="C74" s="125" t="inlineStr">
        <is>
          <t>Captures the presence of cladding elements which is a covering or coating on a structure.</t>
        </is>
      </c>
    </row>
    <row r="75" ht="15.75" customHeight="1" s="133">
      <c r="B75" s="19" t="inlineStr"/>
      <c r="C75" s="125" t="inlineStr"/>
    </row>
    <row r="76" ht="38.25" customHeight="1" s="133">
      <c r="B76" s="19" t="inlineStr">
        <is>
          <t>Frame Bolt</t>
        </is>
      </c>
      <c r="C76" s="125" t="inlineStr">
        <is>
          <t>Captures the presence or lack of a “positive” connection between a structure and its foundation. A structure that is not connected to its foundation can slide off the foundation during an earthquake, leading to significant damage.</t>
        </is>
      </c>
    </row>
    <row r="77" ht="15.75" customHeight="1" s="133">
      <c r="B77" s="19" t="inlineStr"/>
      <c r="C77" s="125" t="inlineStr"/>
    </row>
    <row r="78">
      <c r="B78" s="19" t="inlineStr">
        <is>
          <t>EQ Construction Quality</t>
        </is>
      </c>
      <c r="C78" s="125" t="inlineStr">
        <is>
          <t>Indicates the quality of the workmanship or use of construction materials.</t>
        </is>
      </c>
    </row>
    <row r="79" ht="15.75" customHeight="1" s="133">
      <c r="B79" s="19" t="inlineStr"/>
      <c r="C79" s="125" t="inlineStr"/>
    </row>
    <row r="80" ht="25.5" customHeight="1" s="133">
      <c r="B80" s="19" t="inlineStr">
        <is>
          <t>Unreinforced Masonry Retrofit</t>
        </is>
      </c>
      <c r="C80" s="125" t="inlineStr">
        <is>
          <t>Captures whether or not an unreinforced masonry building has undergone a seismic retrofit.</t>
        </is>
      </c>
    </row>
    <row r="81" ht="15.75" customHeight="1" s="133">
      <c r="B81" s="19" t="inlineStr"/>
      <c r="C81" s="125" t="inlineStr"/>
    </row>
    <row r="82" ht="25.5" customHeight="1" s="133">
      <c r="B82" s="19" t="inlineStr">
        <is>
          <t>Ornament</t>
        </is>
      </c>
      <c r="C82" s="125" t="inlineStr">
        <is>
          <t>Captures the presence of ornamentation, which includes all elements that can shake loose from either roof or structural elements of the building.</t>
        </is>
      </c>
    </row>
    <row r="83" ht="15.75" customHeight="1" s="133">
      <c r="B83" s="19" t="inlineStr"/>
      <c r="C83" s="125" t="inlineStr"/>
    </row>
    <row r="84" ht="38.25" customHeight="1" s="133">
      <c r="B84" s="19" t="inlineStr">
        <is>
          <t>Structural Upgrade</t>
        </is>
      </c>
      <c r="C84" s="125" t="inlineStr">
        <is>
          <t>Applies to older buildings that have been upgraded to conform to more modern building codes. Buildings that have been retrofit in some way provide better earthquake resistive capabilities in general.</t>
        </is>
      </c>
    </row>
    <row r="85" ht="15.75" customHeight="1" s="133">
      <c r="B85" s="19" t="inlineStr"/>
      <c r="C85" s="125" t="inlineStr"/>
    </row>
    <row r="86" ht="25.5" customHeight="1" s="133">
      <c r="B86" s="19" t="inlineStr">
        <is>
          <t>Pounding</t>
        </is>
      </c>
      <c r="C86" s="125" t="inlineStr">
        <is>
          <t>Occurs when there is little or no clearance between adjacent buildings, and the buildings impact or "pound" against each other as they sway during an earthquake.</t>
        </is>
      </c>
    </row>
    <row r="87" ht="15.75" customHeight="1" s="133">
      <c r="B87" s="19" t="inlineStr"/>
      <c r="C87" s="125" t="inlineStr"/>
    </row>
    <row r="88" ht="38.25" customHeight="1" s="133">
      <c r="B88" s="19" t="inlineStr">
        <is>
          <t>Plan Irregularity</t>
        </is>
      </c>
      <c r="C88" s="125" t="inlineStr">
        <is>
          <t>Captures building configurations. Configurations can be regular (square, rectangular, circular) or irregular (L- shape, T-shape, triangular). Irregular buildings tend to twist in addition to shaking laterally.</t>
        </is>
      </c>
    </row>
    <row r="89" ht="15.75" customHeight="1" s="133">
      <c r="B89" s="19" t="inlineStr"/>
      <c r="C89" s="125" t="inlineStr"/>
    </row>
    <row r="90" ht="38.25" customHeight="1" s="133">
      <c r="B90" s="19" t="inlineStr">
        <is>
          <t>Soft Story</t>
        </is>
      </c>
      <c r="C90" s="125" t="inlineStr">
        <is>
          <t>Describes a layer towards or at the bottom of a building that is structurally more susceptible to shear stress, such as that experienced during an earthquake, than upper stories of the building.</t>
        </is>
      </c>
    </row>
    <row r="91" ht="15.75" customHeight="1" s="133">
      <c r="B91" s="19" t="inlineStr"/>
      <c r="C91" s="125" t="inlineStr"/>
    </row>
    <row r="92" ht="25.5" customHeight="1" s="133">
      <c r="B92" s="19" t="inlineStr">
        <is>
          <t>Vertical Irregularity</t>
        </is>
      </c>
      <c r="C92" s="125" t="inlineStr">
        <is>
          <t>Captures the presence of significant setbacks and overhangs, which can cause irregular structural performance in an earthquake.</t>
        </is>
      </c>
    </row>
    <row r="93" ht="15.75" customHeight="1" s="133">
      <c r="B93" s="19" t="inlineStr"/>
      <c r="C93" s="125" t="inlineStr"/>
    </row>
    <row r="94" ht="25.5" customHeight="1" s="133">
      <c r="B94" s="19" t="inlineStr">
        <is>
          <t>Short Column</t>
        </is>
      </c>
      <c r="C94" s="125" t="inlineStr">
        <is>
          <t>Captures the presence of concrete structures in which the full height of some columns is restricted by spandrel beams or in-fill walls.</t>
        </is>
      </c>
    </row>
    <row r="95" ht="15.75" customHeight="1" s="133">
      <c r="B95" s="19" t="inlineStr"/>
      <c r="C95" s="125" t="inlineStr"/>
    </row>
    <row r="96" ht="25.5" customHeight="1" s="133">
      <c r="B96" s="19" t="inlineStr">
        <is>
          <t>URM Partitions or Chimneys</t>
        </is>
      </c>
      <c r="C96" s="125" t="inlineStr">
        <is>
          <t>Indicates whether unreinforced masonry walls/partitions or chimneys are present. The collapse of URM partitions can contribute significantly to the overall loss to a structure.</t>
        </is>
      </c>
    </row>
    <row r="97" ht="15.75" customHeight="1" s="133">
      <c r="B97" s="19" t="inlineStr"/>
      <c r="C97" s="125" t="inlineStr"/>
    </row>
    <row r="98" ht="25.5" customHeight="1" s="133">
      <c r="B98" s="19" t="inlineStr">
        <is>
          <t>Equipment Bracing</t>
        </is>
      </c>
      <c r="C98" s="125" t="inlineStr">
        <is>
          <t>Captures the presence of bracing by anchoring mechanical and electrical equipment to the floor and/or bracing it against structural elements.</t>
        </is>
      </c>
    </row>
    <row r="99" ht="15.75" customHeight="1" s="133">
      <c r="B99" s="19" t="inlineStr"/>
      <c r="C99" s="125" t="inlineStr"/>
    </row>
    <row r="100" ht="38.25" customHeight="1" s="133">
      <c r="B100" s="19" t="inlineStr">
        <is>
          <t>Equipment Support Maintenance</t>
        </is>
      </c>
      <c r="C100" s="125" t="inlineStr">
        <is>
          <t>Captures the presence of signs of distress or duress, such as cracking due to aging, ground settlement, and overloading or cracking due to damage from previous earthquakes.</t>
        </is>
      </c>
    </row>
    <row r="101" ht="15.75" customHeight="1" s="133">
      <c r="B101" s="19" t="inlineStr"/>
      <c r="C101" s="125" t="inlineStr"/>
    </row>
    <row r="102" ht="25.5" customHeight="1" s="133">
      <c r="B102" s="19" t="inlineStr">
        <is>
          <t>Engineered Foundation</t>
        </is>
      </c>
      <c r="C102" s="125" t="inlineStr">
        <is>
          <t>Captures the presence of foundations that have been designed to take into account the soil deformations anticipated for landslides or liquefaction.</t>
        </is>
      </c>
    </row>
    <row r="103" ht="15.75" customHeight="1" s="133">
      <c r="B103" s="19" t="inlineStr"/>
      <c r="C103" s="125" t="inlineStr"/>
    </row>
    <row r="104" ht="25.5" customHeight="1" s="133">
      <c r="B104" s="19" t="inlineStr">
        <is>
          <t>Cripple Wall</t>
        </is>
      </c>
      <c r="C104" s="125" t="inlineStr">
        <is>
          <t>Captures the presence of a short wall that extends from the top of the footing to the level of the first floor, found almost exclusively in wood frame residential construction.</t>
        </is>
      </c>
    </row>
    <row r="105" ht="15.75" customHeight="1" s="133">
      <c r="B105" s="19" t="inlineStr"/>
      <c r="C105" s="125" t="inlineStr"/>
    </row>
    <row r="106" ht="25.5" customHeight="1" s="133">
      <c r="B106" s="19" t="inlineStr">
        <is>
          <t>Tilt Up Retrofit Anchoring</t>
        </is>
      </c>
      <c r="C106" s="125" t="inlineStr">
        <is>
          <t>Captures the presence or lack of adequate connections between walls and roof framing in tilt-up buildings.</t>
        </is>
      </c>
    </row>
    <row r="107" ht="15.75" customHeight="1" s="133">
      <c r="B107" s="19" t="inlineStr"/>
      <c r="C107" s="125" t="inlineStr"/>
    </row>
    <row r="108" ht="51" customHeight="1" s="133">
      <c r="B108" s="19" t="inlineStr">
        <is>
          <t>Base Isolation</t>
        </is>
      </c>
      <c r="C108" s="125" t="inlineStr">
        <is>
          <t>Captures the presence of seismic isolation system. Base isolation attempts to isolate a structure from the external ground excitations, not by trying to dissipate the energy of the earthquake within the structure, but by not allowing this energy to even enter the structure.</t>
        </is>
      </c>
    </row>
    <row r="109" ht="15.75" customHeight="1" s="133">
      <c r="B109" s="19" t="inlineStr"/>
      <c r="C109" s="125" t="inlineStr"/>
    </row>
    <row r="110" ht="25.5" customHeight="1" s="133">
      <c r="B110" s="19" t="inlineStr">
        <is>
          <t>Earthquake Sprinkler Leakage Coverage Flag</t>
        </is>
      </c>
      <c r="C110" s="125" t="inlineStr">
        <is>
          <t>If the flag is set to No (default) no EQSL coverage is provided to the location and no EQSL loss will be calculated at the particular location.</t>
        </is>
      </c>
    </row>
    <row r="111" ht="15.75" customHeight="1" s="133">
      <c r="B111" s="19" t="inlineStr"/>
      <c r="C111" s="125" t="inlineStr"/>
    </row>
    <row r="112" ht="25.5" customHeight="1" s="133">
      <c r="B112" s="19" t="inlineStr">
        <is>
          <t>EQSL Susceptibility</t>
        </is>
      </c>
      <c r="C112" s="125" t="inlineStr">
        <is>
          <t>Describes the relative susceptibility of building components, such as interior partitions, and contents to water damage.</t>
        </is>
      </c>
    </row>
    <row r="113" ht="15.75" customHeight="1" s="133">
      <c r="B113" s="19" t="inlineStr"/>
      <c r="C113" s="125" t="inlineStr"/>
    </row>
    <row r="114">
      <c r="B114" s="19" t="inlineStr">
        <is>
          <t>Sprinkler Type</t>
        </is>
      </c>
      <c r="C114" s="125" t="inlineStr">
        <is>
          <t>Describes whether a building’s sprinkler system uses wet or dry pipes.</t>
        </is>
      </c>
    </row>
    <row r="115" ht="15.75" customHeight="1" s="133">
      <c r="B115" s="19" t="inlineStr"/>
      <c r="C115" s="125" t="inlineStr"/>
    </row>
    <row r="116" ht="15.75" customHeight="1" s="133">
      <c r="B116" s="19" t="inlineStr">
        <is>
          <t>Perils</t>
        </is>
      </c>
      <c r="C116" s="125" t="inlineStr"/>
    </row>
    <row r="117">
      <c r="B117" s="21" t="inlineStr"/>
      <c r="C117" s="125" t="inlineStr"/>
    </row>
    <row r="118">
      <c r="B118" s="21" t="inlineStr">
        <is>
          <t>Earthquake</t>
        </is>
      </c>
      <c r="C118" s="125" t="inlineStr"/>
    </row>
    <row r="119">
      <c r="B119" s="21" t="inlineStr"/>
      <c r="C119" s="125" t="inlineStr"/>
    </row>
    <row r="120" ht="38.25" customHeight="1" s="133">
      <c r="B120" s="21" t="inlineStr">
        <is>
          <t>CRESTA</t>
        </is>
      </c>
      <c r="C120" s="125" t="inlineStr">
        <is>
          <t>Catastrophe Risk Evaluating and Standardizing Target Accumulations. The zone information is used by some insurers for assessing the insurance catastrophe premiums they will charge.</t>
        </is>
      </c>
    </row>
    <row r="121">
      <c r="B121" s="21" t="inlineStr"/>
      <c r="C121" s="125" t="inlineStr"/>
    </row>
    <row r="122" ht="165.75" customHeight="1" s="133">
      <c r="B122" s="21" t="inlineStr">
        <is>
          <t>California CRESTA</t>
        </is>
      </c>
      <c r="C122" s="125" t="inlineStr">
        <is>
          <t>A uniquely referenced CRESTA zonation for California. The system divides California into eight large zones, labelled A through H. Each zone is subdivided by county. Only Los Angeles county is further subdivided. Zone A runs through A1 to A16 (San Francisco City, San Mateo, Alameda, Contra Costa, Del Norte, Humboldt, Mendocino, Lake, Sonoma, Napa, Solano, Marin, Santa Clara, Santa Cruz, San Benito and Monterey counties), zone B runs through B1 to B3 (Los Angeles and Orange counties), zone C C1 to C4 (San Luis Obispo, Kern, Santa Barbara and Ventura counties), zone D is only zone D (San Diego), zone E through E1 to E6 (Alpine, Mono, Inyo, San Bernardino, Riverside and Imperial counties), zone F F1 to F6 (Tulare, Kings, Fresno, Madera, Mariposa and Merced counties), zone G through G1 to G15 (Tuolumne, Stanislaus, San Joaquin, Calaveras, Amador, Sacramento, El Dorado, Placer, Nevada, Yuba, Sutter, Butte, Glenn, Colusa and Yolo counties) and zone H through H1 to H8 (Sierra, Plumas, Lassen, Modoc, Siskiyou, Shasta, Trinity and Tehama counties).</t>
        </is>
      </c>
    </row>
    <row r="123">
      <c r="B123" s="21" t="inlineStr"/>
      <c r="C123" s="125" t="inlineStr"/>
    </row>
    <row r="124">
      <c r="B124" s="21" t="inlineStr">
        <is>
          <t>California High Hazard Zone</t>
        </is>
      </c>
      <c r="C124" s="125" t="inlineStr">
        <is>
          <t>CRESTA zones A1-A16 and B1-B3.</t>
        </is>
      </c>
    </row>
    <row r="125">
      <c r="B125" s="21" t="inlineStr"/>
      <c r="C125" s="125" t="inlineStr"/>
    </row>
    <row r="126">
      <c r="B126" s="21" t="inlineStr">
        <is>
          <t>California Non-high Hazard Zone</t>
        </is>
      </c>
      <c r="C126" s="125" t="inlineStr">
        <is>
          <t>CRESTA zones C1-H8.</t>
        </is>
      </c>
    </row>
    <row r="127">
      <c r="B127" s="21" t="inlineStr"/>
      <c r="C127" s="125" t="inlineStr"/>
    </row>
    <row r="128" ht="76.5" customHeight="1" s="133">
      <c r="B128" s="21" t="inlineStr">
        <is>
          <t>California PML Zone</t>
        </is>
      </c>
      <c r="C128" s="125" t="inlineStr">
        <is>
          <t>California Probable Maximum Loss (PML) Zone is defined by the California Department of Insurance. It aligns with California CRESTA by dividing the state into eight large zones, labelled A through H. However, zones A and B are subdivided in only three ways; A1 (CRESTA A1-A2), A2 (CRESTA A3-A4), A3 (CRESTA A5-A16), B1 + B2 (CRESTA B1-B2), B3 (CRESTA B3). Each of the remaining six zones are not subdivided.</t>
        </is>
      </c>
    </row>
    <row r="129">
      <c r="B129" s="21" t="inlineStr"/>
      <c r="C129" s="125" t="inlineStr"/>
    </row>
    <row r="130" ht="38.25" customHeight="1" s="133">
      <c r="B130" s="21" t="inlineStr">
        <is>
          <t>High Hazard Earthquake Zone</t>
        </is>
      </c>
      <c r="C130" s="125" t="inlineStr">
        <is>
          <t>States which are considered as high hazard earthquake zones are Alaska (except Nome, North Slope, Northwest Arctic and Wade Hampton), California, Hawaii and Puerto Rico. These zones are taken from the Willis All Risks form.</t>
        </is>
      </c>
    </row>
    <row r="131">
      <c r="B131" s="21" t="inlineStr"/>
      <c r="C131" s="125" t="inlineStr"/>
    </row>
    <row r="132" ht="204" customHeight="1" s="133">
      <c r="B132" s="21" t="inlineStr">
        <is>
          <t>New Madrid Zone</t>
        </is>
      </c>
      <c r="C132" s="125" t="inlineStr">
        <is>
          <t>The New Madrid Seismic Zone sometimes called the New Madrid Fault Line, a major seismic zone and a prolific source of intraplate earthquakes (earthquakes within a tectonic plate) in the southern and Midwestern United States. Under the Willis All Risks Form the following states and associated counties are included; Arkansas (Clay, Craighead, Crittenden, Cross, Greene, Jackson, Lawrence, Mississippi, Poinsett, Randolph, Sharp counties), Illinois (Alexander, Bond, Clinton, Franklin, Hardin, Jackson, Jefferson, Johnson, Madison, Massac, Monroe, Perry, Pope, Pulaski, Randolph, Saline, St. Clair, Union, Washington, Williamson counties), Indiana (Gibson, Pike, Posey, Vanderburgh, Warrick), Kentucky (Ballard, Calloway, Carlisle, Fulton, Graves, Hickman, Livingston, Marshall, McCracken counties), Mississippi (Bolivar, Coahoma, De Soto, Marshall, Tate, Tunica counties), Missouri (Bollinger, Butler, Cape Girardeau, Dunklin, Franklin, Iron, Jefferson, Madison, Mississippi, New Madrid, Pemiscot, Perry, Reynolds, Scott, St. Charles, St. Francois, St. Louis, St. Ste. Genevieve, Stoddard, Warren, Washington, Wayne counties) and Tennesee (Crockett, Dyer, Fayette, Gibson, Hardeman, Haywood, Lake, Lauderdale, Madison, Obion, Shelby, Tipton counties).</t>
        </is>
      </c>
    </row>
    <row r="133">
      <c r="B133" s="21" t="inlineStr"/>
      <c r="C133" s="125" t="inlineStr"/>
    </row>
    <row r="134" ht="76.5" customHeight="1" s="133">
      <c r="B134" s="21" t="inlineStr">
        <is>
          <t>Pacific Northwest Zone</t>
        </is>
      </c>
      <c r="C134" s="125" t="inlineStr">
        <is>
          <t>The Pacific Northwest Seismic Network, or PNSN, collects and studies ground motions from about 400 seismometers in the U.S. states of Oregon and Washington to monitor volcanic and tectonic activity, gives advice and information, and works to mitigate earthquake hazard. Under the Willis All Risks Form only Washington state and associated counties are included; Clallam, Jefferson, King, Kitsap, Mason, Pierce, San Juan, Skagit, Snohomish, Thurston and Whatcom.</t>
        </is>
      </c>
    </row>
    <row r="135">
      <c r="B135" s="21" t="inlineStr"/>
      <c r="C135" s="125" t="inlineStr"/>
    </row>
    <row r="136">
      <c r="B136" s="21" t="inlineStr">
        <is>
          <t>Flood</t>
        </is>
      </c>
      <c r="C136" s="125" t="inlineStr"/>
    </row>
    <row r="137">
      <c r="B137" s="21" t="inlineStr"/>
      <c r="C137" s="125" t="inlineStr"/>
    </row>
    <row r="138">
      <c r="B138" s="21" t="inlineStr">
        <is>
          <t>FEMA</t>
        </is>
      </c>
      <c r="C138" s="125" t="inlineStr">
        <is>
          <t>Federal Emergency Management Agency.</t>
        </is>
      </c>
    </row>
    <row r="139">
      <c r="B139" s="21" t="inlineStr"/>
      <c r="C139" s="125" t="inlineStr"/>
    </row>
    <row r="140" ht="25.5" customHeight="1" s="133">
      <c r="B140" s="21" t="inlineStr">
        <is>
          <t>FEMA Flood Zone</t>
        </is>
      </c>
      <c r="C140" s="125" t="inlineStr">
        <is>
          <t>Flood zones are geographic areas that the FEMA has defined according to varying levels of flood risk. Each zone reflects the severity or type of flooding in the area.</t>
        </is>
      </c>
    </row>
    <row r="141">
      <c r="B141" s="21" t="inlineStr"/>
      <c r="C141" s="125" t="inlineStr"/>
    </row>
    <row r="142">
      <c r="B142" s="21" t="inlineStr">
        <is>
          <t>High Hazard Flood Zones</t>
        </is>
      </c>
      <c r="C142" s="125" t="inlineStr">
        <is>
          <t>A and V zones. These zones represent areas that have a 100 year flood risk.</t>
        </is>
      </c>
    </row>
    <row r="143">
      <c r="B143" s="21" t="inlineStr"/>
      <c r="C143" s="125" t="inlineStr"/>
    </row>
    <row r="144" ht="25.5" customHeight="1" s="133">
      <c r="B144" s="21" t="inlineStr">
        <is>
          <t>SFHA</t>
        </is>
      </c>
      <c r="C144" s="125" t="inlineStr">
        <is>
          <t>Special Flood Hazard Area (SFHA) are defined as the area that will be inundated by the flood event having a 1-percent chance of being equalled or exceeded in any given year.</t>
        </is>
      </c>
    </row>
    <row r="145">
      <c r="B145" s="21" t="inlineStr"/>
      <c r="C145" s="125" t="inlineStr"/>
    </row>
    <row r="146" ht="51" customHeight="1" s="133">
      <c r="B146" s="21" t="inlineStr">
        <is>
          <t>100 Year Flood</t>
        </is>
      </c>
      <c r="C146" s="125" t="inlineStr">
        <is>
          <t>The 1-percent annual chance flood is also referred to as the base flood or 100-year flood. SFHAs are labelled as Zone A, Zone AO, Zone AH, Zones A1-A30, Zone AE, Zone A99, Zone AR, Zone AR/AE, Zone AR/AO, Zone AR/A1-A30, Zone AR/A, Zone V, Zone VE, and Zones V1-V30.</t>
        </is>
      </c>
    </row>
    <row r="147">
      <c r="B147" s="21" t="inlineStr"/>
      <c r="C147" s="125" t="inlineStr"/>
    </row>
    <row r="148" ht="25.5" customHeight="1" s="133">
      <c r="B148" s="21" t="inlineStr">
        <is>
          <t>500 Year Flood</t>
        </is>
      </c>
      <c r="C148" s="125" t="inlineStr">
        <is>
          <t>Moderate flood hazard areas, labelled Zone B or Zone X are the areas between the limits of the base flood and the 0.2-percent-annual-chance.</t>
        </is>
      </c>
    </row>
    <row r="149">
      <c r="B149" s="21" t="inlineStr"/>
      <c r="C149" s="125" t="inlineStr"/>
    </row>
    <row r="150" ht="38.25" customHeight="1" s="133">
      <c r="B150" s="21" t="inlineStr">
        <is>
          <t>Outside 500 Year Flood</t>
        </is>
      </c>
      <c r="C150" s="125" t="inlineStr">
        <is>
          <t>The areas of minimal flood hazard, which are the areas outside the SFHA and higher than the elevation of the 0.2-percent-annual-chance flood, are labelled Zone C or Zone X.</t>
        </is>
      </c>
    </row>
    <row r="151">
      <c r="B151" s="21" t="inlineStr"/>
      <c r="C151" s="125" t="inlineStr"/>
    </row>
    <row r="152">
      <c r="B152" s="21" t="inlineStr">
        <is>
          <t>Windstorm</t>
        </is>
      </c>
      <c r="C152" s="125" t="inlineStr"/>
    </row>
    <row r="153">
      <c r="B153" s="21" t="inlineStr"/>
      <c r="C153" s="125" t="inlineStr"/>
    </row>
    <row r="154" ht="242.25" customHeight="1" s="133">
      <c r="B154" s="21" t="inlineStr">
        <is>
          <t>Wind Zone</t>
        </is>
      </c>
      <c r="C154" s="125" t="inlineStr">
        <is>
          <t>A high hazard hurricane zone in encompassing Atlantic Ocean and Gulf of Mexico coastal counties of US. States. Under the Willis All Risks Form the following states and associated counties are included; Alabama (Baldwin and Mobile counties), Florida (entire state), Georgia (Bryan, Camden, Chatham, Glynn, Liberty, McIntosh counties), Hawaii (entire state), Louisiana (Calcasieu, Cameron, Iberia, Jefferson, Lafourche, Livingstone, Orleans, Plaquemines, St. Bernard, St. Charles, St. James, St. John the Baptist, St. Mary, St. Tammany, Tangipahoa, Terrebonne, Vermillion counties), Mississippi (Hancock, Harrison, Jackson counties), North Carolina (Beaufort, Bertie, Brunswick, Camden, Carteret, Chowan, Columbus, Craven, Currituck, Dare, Hyde, Jones, New Hanover, Onslow, Pamlico, Pasquotank, Pender, Perquimans, Tyrrell, Washington counties), Puerto Rico (entire commonwealth), South Carolina (Beaufort, Berkeley, Charleston, Colleton, Georgetown, Horry, Jasper counties), Texas (Aransas, Brazoria, Calhoun, Cameron, Chambers, Galveston, Harris, Jackson, Jefferson, Kennedy, Kleberg, Liberty, Matagorda, Newton, Nueces, Orange , Refugio, San Patricio, Victoria, Willacy counties), Virginia (Accomack, Gloucester, Isle of Wight, James City, Lancaster, Mathews, Middlesex, Northampton, Northumberland, Surry, York and including the independent cities of Chesapeake, Hampton, Newport News, Norfolk, Poquoson, Portsmouth, Suffolk, Virginia Beach, Westmoreland, Williamsburg counties) and US Virgin Islands.</t>
        </is>
      </c>
    </row>
  </sheetData>
  <mergeCells count="1">
    <mergeCell ref="B2:C2"/>
  </mergeCells>
  <pageMargins left="1" right="1" top="1" bottom="1" header="1" footer="1"/>
  <pageSetup orientation="portrait" horizontalDpi="300" verticalDpi="300"/>
</worksheet>
</file>

<file path=xl/worksheets/sheet5.xml><?xml version="1.0" encoding="utf-8"?>
<worksheet xmlns="http://schemas.openxmlformats.org/spreadsheetml/2006/main">
  <sheetPr>
    <outlinePr summaryBelow="1" summaryRight="1"/>
    <pageSetUpPr/>
  </sheetPr>
  <dimension ref="A1:B24"/>
  <sheetViews>
    <sheetView showGridLines="0" topLeftCell="A25" workbookViewId="0">
      <selection activeCell="A1" sqref="A1"/>
    </sheetView>
  </sheetViews>
  <sheetFormatPr baseColWidth="8" defaultRowHeight="15"/>
  <cols>
    <col width="8.5703125" customWidth="1" style="133" min="1" max="1"/>
    <col width="108.5703125" customWidth="1" style="133" min="2" max="2"/>
    <col width="9.5703125" customWidth="1" style="133" min="3" max="3"/>
    <col width="255" customWidth="1" style="133" min="4" max="4"/>
  </cols>
  <sheetData>
    <row r="1" ht="22.5" customHeight="1" s="133"/>
    <row r="2" ht="15" customHeight="1" s="133"/>
    <row r="3" ht="22.7" customHeight="1" s="133"/>
    <row r="4" ht="26.25" customHeight="1" s="133">
      <c r="B4" s="121" t="inlineStr">
        <is>
          <t>Confidentiality</t>
        </is>
      </c>
    </row>
    <row r="5">
      <c r="B5" s="18" t="inlineStr"/>
    </row>
    <row r="6" ht="38.25" customHeight="1" s="133">
      <c r="B6" s="125" t="inlineStr">
        <is>
          <t>This analysis has been prepared by Willis Limited and/or the Broker entity with whom you are dealing (“Broker”) on condition that it shall be treated as strictly confidential and shall not be communicated in whole, in part, or in summary to any third party without written consent from Broker.</t>
        </is>
      </c>
    </row>
    <row r="7">
      <c r="B7" s="125" t="inlineStr"/>
    </row>
    <row r="8" ht="63.75" customHeight="1" s="133">
      <c r="B8" s="125" t="inlineStr">
        <is>
          <t>Broker has relied upon data from public and/or other sources when preparing this analysis and relies also on the use of third party data analysis tools. No attempt has been made to verify independently the accuracy of this data.  Broker does not represent or otherwise guarantee the accuracy or completeness of such data nor assume responsibility for the result of any error or omission in the data or other materials gathered from any source in the preparation of this analysis nor is any liability or responsibility assumed for any error or omission in the third party data analysis tools.</t>
        </is>
      </c>
    </row>
    <row r="9">
      <c r="B9" s="125" t="inlineStr"/>
    </row>
    <row r="10" ht="89.25" customHeight="1" s="133">
      <c r="B10" s="125" t="inlineStr">
        <is>
          <t>Broker, its parent companies, sister companies, subsidiaries and affiliates (hereinafter Broker Group “WTWG”) shall have no liability in connection with any results, including, without limitation, those arising from based upon or in connection with errors, omissions, inaccuracies, or inadequacies associated with the data or arising from, based upon or in connection with any methodologies used or applied by Broker in producing this analysis or any results contained herein. WTWG expressly disclaims any and all liability arising from, based upon or in connection with this analysis. WTWG assumes no duty in contract, tort or otherwise to any party arising from, based upon or in connection with this analysis, and no party should expect WTWG to owe it any such duty.</t>
        </is>
      </c>
    </row>
    <row r="11">
      <c r="B11" s="125" t="inlineStr"/>
    </row>
    <row r="12" ht="127.5" customHeight="1" s="133">
      <c r="B12" s="125" t="inlineStr">
        <is>
          <t>There are many uncertainties inherent in this analysis including, but not limited to, issues such as limitations in the available data, reliance on client data and outside data sources, the underlying volatility of loss and other random processes, uncertainties that characterize the application of professional subjective judgment in estimates and assumptions, etc.   Third party data analysis tools will also incorporate professional subjective assumptions regarding the data or analysis of it, which may differ from assumptions used in other analysis tools.  Ultimate losses, liabilities and claims depend upon future contingent events, including but not limited to unanticipated changes in inflation, laws, and regulations. As a result of these uncertainties, the actual outcomes could vary significantly from Broker’s estimates in either direction. Broker makes no representation about and does not guarantee the outcome, results, success, or profitability of any insurance or reinsurance program or venture, whether or not the analyses or conclusions contained herein apply to such program or venture.  The recipient is provided with (or may request) both the raw and cleaned data upon which this analysis is based.</t>
        </is>
      </c>
    </row>
    <row r="13">
      <c r="B13" s="125" t="inlineStr"/>
    </row>
    <row r="14" ht="63.75" customHeight="1" s="133">
      <c r="B14" s="125" t="inlineStr">
        <is>
          <t>Broker does not recommend making decisions based solely on the information contained in this analysis. Rather, this analysis should be viewed as a supplement to other information, including specific business practice, claims experience, and financial situation.  The recipient should also consider the raw and cleaned data upon which this analysis is based.  Independent professional advisors should be consulted with respect to the issues and conclusions presented herein and their possible application.</t>
        </is>
      </c>
    </row>
    <row r="15">
      <c r="B15" s="125" t="inlineStr"/>
    </row>
    <row r="16" ht="25.5" customHeight="1" s="133">
      <c r="B16" s="125" t="inlineStr">
        <is>
          <t>Broker makes no representation, does not guarantee and assumes no liability for the accuracy or completeness of, or any results obtained by application of, this analysis and conclusions provided herein.</t>
        </is>
      </c>
    </row>
    <row r="17">
      <c r="B17" s="125" t="inlineStr"/>
    </row>
    <row r="18" ht="25.5" customHeight="1" s="133">
      <c r="B18" s="125" t="inlineStr">
        <is>
          <t>Broker does not provide legal, accounting, or tax advice. This analysis does not constitute, is not intended to provide, and should not be construed as such advice. Qualified advisers should be consulted in these areas.</t>
        </is>
      </c>
    </row>
    <row r="19">
      <c r="B19" s="125" t="inlineStr"/>
    </row>
    <row r="20" ht="63.75" customHeight="1" s="133">
      <c r="B20" s="125" t="inlineStr">
        <is>
          <t>Where data is supplied by way of CD or other electronic format, Broker accepts no liability for any loss or damage caused to the Recipient directly or indirectly through use of any such CD or other electronic format, even where caused by negligence. Without limitation, Broker shall not be liable for: loss or corruption of data, damage to any computer or communications system, indirect or consequential losses. The Recipient should take proper precautions to prevent loss or damage – including the use of a virus checker.</t>
        </is>
      </c>
    </row>
    <row r="21">
      <c r="B21" s="125" t="inlineStr"/>
    </row>
    <row r="22" ht="25.5" customHeight="1" s="133">
      <c r="B22" s="125" t="inlineStr">
        <is>
          <t>This limitation of liability does not apply to losses or damage caused by death, personal injury, dishonesty or any other liability which cannot be excluded by law.</t>
        </is>
      </c>
    </row>
    <row r="23">
      <c r="B23" s="125" t="inlineStr"/>
    </row>
    <row r="24">
      <c r="B24" s="125" t="inlineStr">
        <is>
          <t>Acceptance of this document shall be deemed agreement to the above.</t>
        </is>
      </c>
    </row>
  </sheetData>
  <pageMargins left="1" right="1" top="1" bottom="1" header="1" footer="1"/>
  <pageSetup orientation="portrait" horizontalDpi="300" verticalDpi="300"/>
</worksheet>
</file>

<file path=xl/worksheets/sheet6.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8.5703125" customWidth="1" style="133" min="1" max="1"/>
    <col hidden="1" style="133" min="2" max="2"/>
    <col width="108.5703125" customWidth="1" style="133" min="3" max="3"/>
    <col hidden="1" style="133" min="4" max="4"/>
    <col width="9.42578125" customWidth="1" style="133" min="5" max="5"/>
    <col hidden="1" style="133" min="6" max="6"/>
    <col width="255" customWidth="1" style="133" min="7" max="7"/>
  </cols>
  <sheetData>
    <row r="1" ht="27.2" customHeight="1" s="133"/>
    <row r="2" ht="15" customHeight="1" s="133">
      <c r="C2" s="131" t="n"/>
    </row>
    <row r="3" ht="22.7" customHeight="1" s="133"/>
    <row r="4" ht="24.95" customHeight="1" s="133">
      <c r="B4" s="121" t="inlineStr">
        <is>
          <t>Vendor Disclaimers</t>
        </is>
      </c>
      <c r="C4" s="147" t="n"/>
    </row>
    <row r="5" ht="14.1" customHeight="1" s="133"/>
    <row r="6" ht="371.25" customHeight="1" s="133">
      <c r="B6" s="123" t="inlineStr">
        <is>
          <t>Risk Management Solutions
This report, and the analyses, models and predictions contained herein ("Information"), are based on data provided by the relevant Broker entity (“Broker”), and compiled using proprietary computer risk assessment technology of Risk Management Solutions, Inc. ("RMS"). Such Information contains RMS confidential and proprietary information and trade secrets.  The Recipient of the Information shall (i) not disclose such Information to any third party; (ii) use such Information only for the purpose of facilitating an actual imminent reinsurance placement (“Purpose”); (iii) limit the disclosure of such Information only to its employees, partners and directors who have a need to know, provided that the Recipient shall ensure that each of those persons to whom such Information is to be disclosed is made aware of, and shall procure that such person or persons adhere to, the terms of these confidentiality restrictions; and (iv) use the same degree of care to prevent disclosure or use of such Information for other than the Purpose that it would use for its own confidential information (but in no case with less than a reasonable degree of care).  The technology and data used in providing this Information is based on the scientific data, mathematical and empirical models, and encoded experience of scientists and specialists (including without limitation: earthquake engineers, wind engineers, structural engineers, geologists, seismologists, meteorologists, geotechnical specialists, mathematicians and cyber security experts). As with any model of physical systems, particularly those with low frequencies of occurrence and potentially high severity outcomes, the actual losses from catastrophic events may differ from the results of simulation analyses. Furthermore, the accuracy of predictions depends largely on the accuracy and quality of the data used. The Information is provided under license to Broker and is either Broker’s or RMS’s proprietary and confidential information and may not be shared with any third party without the prior written consent of both Broker and RMS. Furthermore, this Information may only be used for the specific business purpose specified by Broker and for no other purpose, and may not be used under any circumstances in the development or calibration of any product or service offering that competes with RMS.
The Recipient of this Information is further advised that RMS is not engaged in the insurance, reinsurance, or related industries, and that the Information provided is not intended to constitute professional advice. RMS SPECIFICALLY DISCLAIMS ANY AND ALL RESPONSIBILITIES, OBLIGATIONS AND LIABILITY WITH RESPECT TO ANY DECISIONS OR ADVICE MADE OR GIVEN AS A RESULT OF THE INFORMATION OR USE THEREOF, INCLUDING ALL WARRANTIES, WHETHER EXPRESS OR IMPLIED, INCLUDING BUT NOT LIMITED TO, WARRANTIES OF NON-INFRINGEMENT, MERCHANTABILITY AND FITNESS FOR A PARTICULAR PURPOSE. IN NO EVENT SHALL RMS (OR ITS PARENT, SUBSIDIARY, OR OTHER AFFILIATED COMPANIES) BE LIABLE FOR DIRECT, INDIRECT, SPECIAL, INCIDENTAL, EXEMPLARY, OR CONSEQUENTIAL DAMAGES WITH RESPECT TO ANY DECISIONS OR ADVICE MADE OR GIVEN AS A RESULT OF THE CONTENTS OF THIS INFORMATION OR USE THEREOF.</t>
        </is>
      </c>
    </row>
    <row r="7" ht="19.9" customHeight="1" s="133"/>
    <row r="8" ht="11.85" customHeight="1" s="133">
      <c r="B8" s="124" t="inlineStr">
        <is>
          <t>FEMA Disclaimer</t>
        </is>
      </c>
      <c r="C8" s="147" t="n"/>
    </row>
    <row r="9" ht="56.65" customHeight="1" s="133">
      <c r="B9" s="125" t="inlineStr">
        <is>
          <t>This product uses the Federal Emergency Management Agency's API, but is not endorsed by FEMA. FEMA cannot verify the quality and/or timeliness of any data or any analysis derived after the data has been retrieved from FEMA.gov. FEMA data were last retrieved using the APIs on 01/11/2020.</t>
        </is>
      </c>
      <c r="C9" s="147" t="n"/>
    </row>
  </sheetData>
  <mergeCells count="5">
    <mergeCell ref="B6:C6"/>
    <mergeCell ref="C2:D2"/>
    <mergeCell ref="B9:C9"/>
    <mergeCell ref="B8:C8"/>
    <mergeCell ref="B4:C4"/>
  </mergeCells>
  <hyperlinks>
    <hyperlink xmlns:r="http://schemas.openxmlformats.org/officeDocument/2006/relationships" ref="B9" r:id="rId1"/>
  </hyperlinks>
  <pageMargins left="1" right="1" top="1" bottom="1" header="1" footer="1"/>
  <pageSetup orientation="portrait" horizontalDpi="300" verticalDpi="300"/>
</worksheet>
</file>

<file path=xl/worksheets/sheet7.xml><?xml version="1.0" encoding="utf-8"?>
<worksheet xmlns="http://schemas.openxmlformats.org/spreadsheetml/2006/main">
  <sheetPr>
    <outlinePr summaryBelow="1" summaryRight="1"/>
    <pageSetUpPr/>
  </sheetPr>
  <dimension ref="A1:R107"/>
  <sheetViews>
    <sheetView showGridLines="0" topLeftCell="A5" zoomScale="58" zoomScaleNormal="58" workbookViewId="0">
      <pane ySplit="2" topLeftCell="A7" activePane="bottomLeft" state="frozen"/>
      <selection pane="bottomLeft" activeCell="D55" sqref="D55"/>
      <selection activeCell="A5" sqref="A5"/>
    </sheetView>
  </sheetViews>
  <sheetFormatPr baseColWidth="8" defaultColWidth="11.5703125" defaultRowHeight="12.75"/>
  <cols>
    <col width="63.42578125" customWidth="1" style="55" min="1" max="1"/>
    <col width="21.5703125" customWidth="1" style="53" min="2" max="2"/>
    <col width="24" customWidth="1" style="53" min="3" max="3"/>
    <col width="19.5703125" customWidth="1" style="53" min="4" max="4"/>
    <col width="17" customWidth="1" style="53" min="5" max="5"/>
    <col width="19.140625" customWidth="1" style="53" min="6" max="6"/>
    <col width="18.85546875" customWidth="1" style="53" min="7" max="7"/>
    <col width="16.5703125" customWidth="1" style="53" min="8" max="8"/>
    <col width="17.42578125" customWidth="1" style="53" min="9" max="9"/>
    <col width="16" customWidth="1" style="53" min="10" max="10"/>
    <col width="22.42578125" customWidth="1" style="53" min="11" max="11"/>
    <col width="21.5703125" customWidth="1" style="148" min="12" max="12"/>
    <col width="16.28515625" customWidth="1" style="53" min="13" max="13"/>
    <col width="89.7109375" customWidth="1" style="53" min="14" max="14"/>
    <col width="31.85546875" customWidth="1" style="53" min="15" max="15"/>
    <col width="18.5703125" customWidth="1" style="53" min="16" max="16"/>
    <col width="24.5703125" customWidth="1" style="55" min="17" max="17"/>
    <col width="11.5703125" customWidth="1" style="55" min="18" max="18"/>
    <col width="19.85546875" customWidth="1" style="55" min="19" max="19"/>
    <col width="11.5703125" customWidth="1" style="55" min="20" max="16384"/>
  </cols>
  <sheetData>
    <row r="1" hidden="1" ht="13.5" customHeight="1" s="133" thickBot="1">
      <c r="A1" s="52" t="inlineStr">
        <is>
          <t>Exhibit 1a</t>
        </is>
      </c>
    </row>
    <row r="2" hidden="1" ht="13.5" customHeight="1" s="133" thickBot="1">
      <c r="A2" s="126" t="inlineStr">
        <is>
          <t>Celulosa Client A y Constitucion S.A. and Alto Parana S.A. and Subsidiaries</t>
        </is>
      </c>
    </row>
    <row r="3" hidden="1" ht="13.5" customHeight="1" s="133" thickBot="1">
      <c r="A3" s="126" t="inlineStr">
        <is>
          <t>All Values in USD</t>
        </is>
      </c>
    </row>
    <row r="4" hidden="1" ht="13.5" customHeight="1" s="133" thickBot="1">
      <c r="O4" s="126" t="n"/>
    </row>
    <row r="5" ht="15.75" customHeight="1" s="133" thickBot="1">
      <c r="A5" s="149" t="inlineStr">
        <is>
          <t>CELULOSA Client A - SONAE Client A 2022/2023</t>
        </is>
      </c>
      <c r="B5" s="150" t="n"/>
      <c r="C5" s="150" t="n"/>
      <c r="D5" s="150" t="n"/>
      <c r="E5" s="150" t="n"/>
      <c r="F5" s="150" t="n"/>
      <c r="G5" s="150" t="n"/>
      <c r="H5" s="150" t="n"/>
      <c r="I5" s="150" t="n"/>
      <c r="J5" s="150" t="n"/>
      <c r="K5" s="150" t="n"/>
      <c r="L5" s="150" t="n"/>
      <c r="M5" s="150" t="n"/>
      <c r="N5" s="150" t="n"/>
      <c r="O5" s="150" t="n"/>
      <c r="P5" s="151" t="n"/>
    </row>
    <row r="6" ht="107.25" customFormat="1" customHeight="1" s="63" thickBot="1">
      <c r="A6" s="56" t="inlineStr">
        <is>
          <t>Companies and Locations</t>
        </is>
      </c>
      <c r="B6" s="57" t="inlineStr">
        <is>
          <t>Buildings and Installations</t>
        </is>
      </c>
      <c r="C6" s="58" t="inlineStr">
        <is>
          <t>Contents, Machinery, Equipment</t>
        </is>
      </c>
      <c r="D6" s="59" t="inlineStr">
        <is>
          <t>Total Buildings + Contents, Machinery, Equipment, Installations   (B+C)</t>
        </is>
      </c>
      <c r="E6" s="57" t="inlineStr">
        <is>
          <t>Stock</t>
        </is>
      </c>
      <c r="F6" s="58" t="inlineStr">
        <is>
          <t>Total PD                (D+E)</t>
        </is>
      </c>
      <c r="G6" s="60" t="inlineStr">
        <is>
          <t>BI</t>
        </is>
      </c>
      <c r="H6" s="57" t="inlineStr">
        <is>
          <t>BI 
Generation</t>
        </is>
      </c>
      <c r="I6" s="58" t="inlineStr">
        <is>
          <t>CER Bonds</t>
        </is>
      </c>
      <c r="J6" s="57" t="inlineStr">
        <is>
          <t>Operational Payroll OP 30 Days</t>
        </is>
      </c>
      <c r="K6" s="58" t="inlineStr">
        <is>
          <t>Total BI (G+H+I+J)</t>
        </is>
      </c>
      <c r="L6" s="58" t="inlineStr">
        <is>
          <t>Total Overall   (F+K)</t>
        </is>
      </c>
      <c r="M6" s="57" t="inlineStr">
        <is>
          <t>Cresta
Zone</t>
        </is>
      </c>
      <c r="N6" s="61" t="inlineStr">
        <is>
          <t>City / Town</t>
        </is>
      </c>
      <c r="O6" s="62" t="inlineStr">
        <is>
          <t>Latitude</t>
        </is>
      </c>
      <c r="P6" s="62" t="inlineStr">
        <is>
          <t>Longitude</t>
        </is>
      </c>
    </row>
    <row r="7" customFormat="1" s="52">
      <c r="A7" s="82" t="inlineStr">
        <is>
          <t xml:space="preserve">SONAE Client A - Portugal </t>
        </is>
      </c>
      <c r="B7" s="152" t="n"/>
      <c r="C7" s="152" t="n"/>
      <c r="D7" s="152">
        <f>SUM(B7:C7)</f>
        <v/>
      </c>
      <c r="E7" s="152" t="n"/>
      <c r="F7" s="152" t="n"/>
      <c r="G7" s="152" t="n"/>
      <c r="H7" s="153" t="n"/>
      <c r="I7" s="153" t="n"/>
      <c r="J7" s="153" t="n"/>
      <c r="K7" s="154" t="n"/>
      <c r="L7" s="154" t="n"/>
      <c r="M7" s="155" t="n"/>
      <c r="N7" s="156" t="n"/>
      <c r="O7" s="156" t="n"/>
      <c r="P7" s="156" t="n"/>
      <c r="R7" s="55" t="n"/>
    </row>
    <row r="8" customFormat="1" s="52">
      <c r="A8" s="85" t="inlineStr">
        <is>
          <t>Mangualde</t>
        </is>
      </c>
      <c r="B8" s="152" t="n"/>
      <c r="C8" s="152" t="n"/>
      <c r="D8" s="152" t="n"/>
      <c r="E8" s="152" t="n"/>
      <c r="F8" s="152" t="n"/>
      <c r="G8" s="152" t="n"/>
      <c r="H8" s="153" t="n"/>
      <c r="I8" s="153" t="n"/>
      <c r="J8" s="153" t="n"/>
      <c r="K8" s="154" t="n"/>
      <c r="L8" s="154" t="n"/>
      <c r="M8" s="155" t="n"/>
      <c r="N8" s="157" t="inlineStr">
        <is>
          <t>Mangualde</t>
        </is>
      </c>
      <c r="O8" s="157" t="n">
        <v>40582972</v>
      </c>
      <c r="P8" s="157" t="n">
        <v>-7793447</v>
      </c>
      <c r="R8" s="55" t="n"/>
    </row>
    <row r="9" customFormat="1" s="52">
      <c r="A9" s="65" t="inlineStr">
        <is>
          <t>Sonae Client A Portugal SA</t>
        </is>
      </c>
      <c r="B9" s="87" t="n">
        <v>22621000</v>
      </c>
      <c r="C9" s="88" t="n">
        <v>164815996</v>
      </c>
      <c r="D9" s="152">
        <f>B9+C9</f>
        <v/>
      </c>
      <c r="E9" s="158" t="n">
        <v>9914347.371702274</v>
      </c>
      <c r="F9" s="152">
        <f>D9+E9</f>
        <v/>
      </c>
      <c r="G9" s="158" t="n">
        <v>17305441.26301784</v>
      </c>
      <c r="H9" s="153" t="n"/>
      <c r="I9" s="153" t="n"/>
      <c r="J9" s="153" t="n"/>
      <c r="K9" s="154">
        <f>G9</f>
        <v/>
      </c>
      <c r="L9" s="154">
        <f>F9+K9</f>
        <v/>
      </c>
      <c r="M9" s="155" t="n"/>
      <c r="N9" s="157" t="n"/>
      <c r="O9" s="157" t="n"/>
      <c r="P9" s="157" t="n"/>
      <c r="R9" s="55" t="n"/>
    </row>
    <row r="10" customFormat="1" s="52">
      <c r="A10" s="65" t="inlineStr">
        <is>
          <t xml:space="preserve">Oliveira de Hospital </t>
        </is>
      </c>
      <c r="B10" s="90" t="n"/>
      <c r="C10" s="90" t="n"/>
      <c r="D10" s="152">
        <f>B10+C10</f>
        <v/>
      </c>
      <c r="E10" s="159" t="n"/>
      <c r="F10" s="152">
        <f>D10+E10</f>
        <v/>
      </c>
      <c r="G10" s="159" t="n"/>
      <c r="H10" s="153" t="n"/>
      <c r="I10" s="153" t="n"/>
      <c r="J10" s="153" t="n"/>
      <c r="K10" s="154">
        <f>G10</f>
        <v/>
      </c>
      <c r="L10" s="154">
        <f>F10+K10</f>
        <v/>
      </c>
      <c r="M10" s="155" t="n"/>
      <c r="N10" s="157" t="inlineStr">
        <is>
          <t xml:space="preserve">Oliveira de Hospital </t>
        </is>
      </c>
      <c r="O10" s="157" t="n">
        <v>40349553</v>
      </c>
      <c r="P10" s="157" t="n">
        <v>-7834550</v>
      </c>
      <c r="R10" s="55" t="n"/>
    </row>
    <row r="11" customFormat="1" s="52">
      <c r="A11" s="85" t="inlineStr">
        <is>
          <t>Sonae Client A Portugal SA</t>
        </is>
      </c>
      <c r="B11" s="87" t="n">
        <v>24706000</v>
      </c>
      <c r="C11" s="88" t="n">
        <v>143502032</v>
      </c>
      <c r="D11" s="152">
        <f>B11+C11</f>
        <v/>
      </c>
      <c r="E11" s="158" t="n">
        <v>6845061.348975</v>
      </c>
      <c r="F11" s="152">
        <f>D11+E11</f>
        <v/>
      </c>
      <c r="G11" s="158" t="n">
        <v>26178581.35631666</v>
      </c>
      <c r="H11" s="153" t="n"/>
      <c r="I11" s="153" t="n"/>
      <c r="J11" s="153" t="n"/>
      <c r="K11" s="154">
        <f>G11</f>
        <v/>
      </c>
      <c r="L11" s="154">
        <f>F11+K11</f>
        <v/>
      </c>
      <c r="M11" s="155" t="n"/>
      <c r="N11" s="157" t="n"/>
      <c r="O11" s="157" t="n"/>
      <c r="P11" s="157" t="n"/>
      <c r="R11" s="55" t="n"/>
    </row>
    <row r="12" customFormat="1" s="52">
      <c r="A12" s="65" t="inlineStr">
        <is>
          <t xml:space="preserve">Sines </t>
        </is>
      </c>
      <c r="B12" s="90" t="n"/>
      <c r="C12" s="90" t="n"/>
      <c r="D12" s="152">
        <f>B12+C12</f>
        <v/>
      </c>
      <c r="E12" s="159" t="n"/>
      <c r="F12" s="152">
        <f>D12+E12</f>
        <v/>
      </c>
      <c r="G12" s="159" t="n"/>
      <c r="H12" s="153" t="n"/>
      <c r="I12" s="153" t="n"/>
      <c r="J12" s="153" t="n"/>
      <c r="K12" s="154">
        <f>G12</f>
        <v/>
      </c>
      <c r="L12" s="154">
        <f>F12+K12</f>
        <v/>
      </c>
      <c r="M12" s="155" t="n"/>
      <c r="N12" s="157" t="inlineStr">
        <is>
          <t xml:space="preserve">Sines </t>
        </is>
      </c>
      <c r="O12" s="157" t="n">
        <v>37988463</v>
      </c>
      <c r="P12" s="157" t="n">
        <v>-8811552</v>
      </c>
      <c r="R12" s="55" t="n"/>
    </row>
    <row r="13" customFormat="1" s="52">
      <c r="A13" s="65" t="inlineStr">
        <is>
          <t>Euroresinas-Indústrias Quimicas Sa</t>
        </is>
      </c>
      <c r="B13" s="87" t="n">
        <v>5845000</v>
      </c>
      <c r="C13" s="88" t="n">
        <v>63668000</v>
      </c>
      <c r="D13" s="152">
        <f>B13+C13</f>
        <v/>
      </c>
      <c r="E13" s="158" t="n">
        <v>9647876.662500001</v>
      </c>
      <c r="F13" s="152">
        <f>D13+E13</f>
        <v/>
      </c>
      <c r="G13" s="158" t="n">
        <v>9281276.627318582</v>
      </c>
      <c r="H13" s="153" t="n"/>
      <c r="I13" s="153" t="n"/>
      <c r="J13" s="153" t="n"/>
      <c r="K13" s="154">
        <f>G13</f>
        <v/>
      </c>
      <c r="L13" s="154">
        <f>F13+K13</f>
        <v/>
      </c>
      <c r="M13" s="155" t="n"/>
      <c r="N13" s="157" t="n"/>
      <c r="O13" s="157" t="n"/>
      <c r="P13" s="157" t="n"/>
      <c r="R13" s="55" t="n"/>
    </row>
    <row r="14" customFormat="1" s="52">
      <c r="A14" s="85" t="inlineStr">
        <is>
          <t xml:space="preserve">Castelo de Paiva </t>
        </is>
      </c>
      <c r="B14" s="90" t="n"/>
      <c r="C14" s="90" t="n"/>
      <c r="D14" s="152">
        <f>B14+C14</f>
        <v/>
      </c>
      <c r="E14" s="159" t="n"/>
      <c r="F14" s="152">
        <f>D14+E14</f>
        <v/>
      </c>
      <c r="G14" s="159" t="n"/>
      <c r="H14" s="153" t="n"/>
      <c r="I14" s="153" t="n"/>
      <c r="J14" s="153" t="n"/>
      <c r="K14" s="154">
        <f>G14</f>
        <v/>
      </c>
      <c r="L14" s="154">
        <f>F14+K14</f>
        <v/>
      </c>
      <c r="M14" s="155" t="n"/>
      <c r="N14" s="157" t="inlineStr">
        <is>
          <t xml:space="preserve">Castelo de Paiva </t>
        </is>
      </c>
      <c r="O14" s="157" t="n">
        <v>41076664</v>
      </c>
      <c r="P14" s="157" t="n">
        <v>-8294309</v>
      </c>
      <c r="R14" s="55" t="n"/>
    </row>
    <row r="15">
      <c r="A15" s="65" t="inlineStr">
        <is>
          <t>Sonae Client A Portugal SA</t>
        </is>
      </c>
      <c r="B15" s="87" t="n">
        <v>4208000</v>
      </c>
      <c r="C15" s="160" t="n">
        <v>0</v>
      </c>
      <c r="D15" s="152">
        <f>B15+C15</f>
        <v/>
      </c>
      <c r="E15" s="158" t="n"/>
      <c r="F15" s="152">
        <f>D15+E15</f>
        <v/>
      </c>
      <c r="G15" s="158" t="n">
        <v>0</v>
      </c>
      <c r="H15" s="153" t="n"/>
      <c r="I15" s="153" t="n"/>
      <c r="J15" s="153" t="n"/>
      <c r="K15" s="154">
        <f>G15</f>
        <v/>
      </c>
      <c r="L15" s="154">
        <f>F15+K15</f>
        <v/>
      </c>
      <c r="M15" s="155" t="n"/>
      <c r="N15" s="157" t="n"/>
      <c r="O15" s="157" t="n"/>
      <c r="P15" s="157" t="n"/>
    </row>
    <row r="16" customFormat="1" s="52">
      <c r="A16" s="85" t="inlineStr">
        <is>
          <t>Maia</t>
        </is>
      </c>
      <c r="B16" s="90" t="n"/>
      <c r="C16" s="160" t="n"/>
      <c r="D16" s="152">
        <f>B16+C16</f>
        <v/>
      </c>
      <c r="E16" s="158" t="n"/>
      <c r="F16" s="152">
        <f>D16+E16</f>
        <v/>
      </c>
      <c r="G16" s="158" t="n"/>
      <c r="H16" s="153" t="n"/>
      <c r="I16" s="153" t="n"/>
      <c r="J16" s="153" t="n"/>
      <c r="K16" s="154">
        <f>G16</f>
        <v/>
      </c>
      <c r="L16" s="154">
        <f>F16+K16</f>
        <v/>
      </c>
      <c r="M16" s="155" t="n"/>
      <c r="N16" s="157" t="inlineStr">
        <is>
          <t>Maia</t>
        </is>
      </c>
      <c r="O16" s="157" t="n">
        <v>41140967</v>
      </c>
      <c r="P16" s="157" t="n">
        <v>-8382934</v>
      </c>
      <c r="R16" s="55" t="n"/>
    </row>
    <row r="17" customFormat="1" s="52">
      <c r="A17" s="65" t="inlineStr">
        <is>
          <t>Sonae Client A Portugal SA</t>
        </is>
      </c>
      <c r="B17" s="87" t="n">
        <v>2400000</v>
      </c>
      <c r="C17" s="160" t="n">
        <v>0</v>
      </c>
      <c r="D17" s="152">
        <f>B17+C17</f>
        <v/>
      </c>
      <c r="E17" s="158" t="n">
        <v>0</v>
      </c>
      <c r="F17" s="152">
        <f>D17+E17</f>
        <v/>
      </c>
      <c r="G17" s="158" t="n">
        <v>0</v>
      </c>
      <c r="H17" s="153" t="n"/>
      <c r="I17" s="153" t="n"/>
      <c r="J17" s="153" t="n"/>
      <c r="K17" s="154">
        <f>G17</f>
        <v/>
      </c>
      <c r="L17" s="154">
        <f>F17+K17</f>
        <v/>
      </c>
      <c r="M17" s="155" t="n"/>
      <c r="N17" s="157" t="n"/>
      <c r="O17" s="157" t="n"/>
      <c r="P17" s="157" t="n"/>
      <c r="R17" s="55" t="n"/>
    </row>
    <row r="18" customFormat="1" s="52">
      <c r="A18" s="85" t="inlineStr">
        <is>
          <t>Alfena</t>
        </is>
      </c>
      <c r="B18" s="90" t="n"/>
      <c r="C18" s="90" t="n"/>
      <c r="D18" s="152">
        <f>B18+C18</f>
        <v/>
      </c>
      <c r="E18" s="158" t="n"/>
      <c r="F18" s="152">
        <f>D18+E18</f>
        <v/>
      </c>
      <c r="G18" s="158" t="n"/>
      <c r="H18" s="153" t="n"/>
      <c r="I18" s="153" t="n"/>
      <c r="J18" s="153" t="n"/>
      <c r="K18" s="154">
        <f>G18</f>
        <v/>
      </c>
      <c r="L18" s="154">
        <f>F18+K18</f>
        <v/>
      </c>
      <c r="M18" s="155" t="n"/>
      <c r="N18" s="157" t="inlineStr">
        <is>
          <t>Alfena</t>
        </is>
      </c>
      <c r="O18" s="157" t="n">
        <v>41215029</v>
      </c>
      <c r="P18" s="157" t="n">
        <v>-8527385</v>
      </c>
      <c r="R18" s="55" t="n"/>
    </row>
    <row r="19" customFormat="1" s="52">
      <c r="A19" s="65" t="inlineStr">
        <is>
          <t>Ecocilo - Energia e Ambiente, SA</t>
        </is>
      </c>
      <c r="B19" s="87" t="n">
        <v>160000</v>
      </c>
      <c r="C19" s="88" t="n">
        <v>1354000</v>
      </c>
      <c r="D19" s="152">
        <f>B19+C19</f>
        <v/>
      </c>
      <c r="E19" s="158" t="n">
        <v>26381.52825</v>
      </c>
      <c r="F19" s="152">
        <f>D19+E19</f>
        <v/>
      </c>
      <c r="G19" s="158" t="n">
        <v>407440.00000001</v>
      </c>
      <c r="H19" s="153" t="n"/>
      <c r="I19" s="153" t="n"/>
      <c r="J19" s="153" t="n"/>
      <c r="K19" s="154">
        <f>G19</f>
        <v/>
      </c>
      <c r="L19" s="154">
        <f>F19+K19</f>
        <v/>
      </c>
      <c r="M19" s="155" t="n"/>
      <c r="N19" s="157" t="n"/>
      <c r="O19" s="157" t="n"/>
      <c r="P19" s="157" t="n"/>
      <c r="R19" s="55" t="n"/>
    </row>
    <row r="20" customFormat="1" s="52">
      <c r="A20" s="85" t="inlineStr">
        <is>
          <t>Aveiro</t>
        </is>
      </c>
      <c r="B20" s="90" t="n"/>
      <c r="C20" s="90" t="n"/>
      <c r="D20" s="152">
        <f>B20+C20</f>
        <v/>
      </c>
      <c r="E20" s="158" t="n"/>
      <c r="F20" s="152">
        <f>D20+E20</f>
        <v/>
      </c>
      <c r="G20" s="158" t="n"/>
      <c r="H20" s="153" t="n"/>
      <c r="I20" s="153" t="n"/>
      <c r="J20" s="153" t="n"/>
      <c r="K20" s="154">
        <f>G20</f>
        <v/>
      </c>
      <c r="L20" s="154">
        <f>F20+K20</f>
        <v/>
      </c>
      <c r="M20" s="155" t="n"/>
      <c r="N20" s="157" t="inlineStr">
        <is>
          <t>Aveiro</t>
        </is>
      </c>
      <c r="O20" s="157" t="n">
        <v>40645379</v>
      </c>
      <c r="P20" s="157" t="n">
        <v>-8730681</v>
      </c>
      <c r="R20" s="55" t="n"/>
    </row>
    <row r="21" customFormat="1" s="52">
      <c r="A21" s="65" t="inlineStr">
        <is>
          <t>Sonae Client A Portugal SA</t>
        </is>
      </c>
      <c r="B21" s="87" t="n">
        <v>400000</v>
      </c>
      <c r="C21" s="160" t="n">
        <v>0</v>
      </c>
      <c r="D21" s="152">
        <f>B21+C21</f>
        <v/>
      </c>
      <c r="E21" s="158" t="n">
        <v>1105807.030022727</v>
      </c>
      <c r="F21" s="152">
        <f>D21+E21</f>
        <v/>
      </c>
      <c r="G21" s="158" t="n">
        <v>0</v>
      </c>
      <c r="H21" s="153" t="n"/>
      <c r="I21" s="153" t="n"/>
      <c r="J21" s="153" t="n"/>
      <c r="K21" s="154">
        <f>G21</f>
        <v/>
      </c>
      <c r="L21" s="154">
        <f>F21+K21</f>
        <v/>
      </c>
      <c r="M21" s="155" t="n"/>
      <c r="N21" s="157" t="n"/>
      <c r="O21" s="157" t="n"/>
      <c r="P21" s="157" t="n"/>
      <c r="R21" s="55" t="n"/>
    </row>
    <row r="22" customFormat="1" s="52">
      <c r="A22" s="85" t="inlineStr">
        <is>
          <t xml:space="preserve">Seixal </t>
        </is>
      </c>
      <c r="B22" s="90" t="n"/>
      <c r="C22" s="90" t="n"/>
      <c r="D22" s="152">
        <f>B22+C22</f>
        <v/>
      </c>
      <c r="E22" s="158" t="n"/>
      <c r="F22" s="152">
        <f>D22+E22</f>
        <v/>
      </c>
      <c r="G22" s="158" t="n"/>
      <c r="H22" s="153" t="n"/>
      <c r="I22" s="153" t="n"/>
      <c r="J22" s="153" t="n"/>
      <c r="K22" s="154">
        <f>G22</f>
        <v/>
      </c>
      <c r="L22" s="154">
        <f>F22+K22</f>
        <v/>
      </c>
      <c r="M22" s="155" t="n"/>
      <c r="N22" s="157" t="inlineStr">
        <is>
          <t xml:space="preserve">Seixal </t>
        </is>
      </c>
      <c r="O22" s="157" t="n">
        <v>38602757</v>
      </c>
      <c r="P22" s="157" t="n">
        <v>-9071594</v>
      </c>
      <c r="R22" s="55" t="n"/>
    </row>
    <row r="23" customFormat="1" s="52">
      <c r="A23" s="65" t="inlineStr">
        <is>
          <t>Ecocilo - Energia e Ambiente, SA</t>
        </is>
      </c>
      <c r="B23" s="87" t="n"/>
      <c r="C23" s="88" t="n">
        <v>1893000</v>
      </c>
      <c r="D23" s="152">
        <f>B23+C23</f>
        <v/>
      </c>
      <c r="E23" s="158" t="n">
        <v>28732.45425</v>
      </c>
      <c r="F23" s="152">
        <f>D23+E23</f>
        <v/>
      </c>
      <c r="G23" s="158" t="n">
        <v>466457.359999999</v>
      </c>
      <c r="H23" s="153" t="n"/>
      <c r="I23" s="153" t="n"/>
      <c r="J23" s="153" t="n"/>
      <c r="K23" s="154">
        <f>G23</f>
        <v/>
      </c>
      <c r="L23" s="154">
        <f>F23+K23</f>
        <v/>
      </c>
      <c r="M23" s="155" t="n"/>
      <c r="N23" s="157" t="n"/>
      <c r="O23" s="157" t="n"/>
      <c r="P23" s="157" t="n"/>
      <c r="R23" s="55" t="n"/>
    </row>
    <row r="24" customFormat="1" s="52">
      <c r="A24" s="85" t="inlineStr">
        <is>
          <t>Sonae Client A Portugal SA</t>
        </is>
      </c>
      <c r="B24" s="87" t="n">
        <v>468000</v>
      </c>
      <c r="C24" s="160" t="n">
        <v>0</v>
      </c>
      <c r="D24" s="152">
        <f>B24+C24</f>
        <v/>
      </c>
      <c r="E24" s="158" t="n">
        <v>0</v>
      </c>
      <c r="F24" s="152">
        <f>D24+E24</f>
        <v/>
      </c>
      <c r="G24" s="158" t="n">
        <v>0</v>
      </c>
      <c r="H24" s="153" t="n"/>
      <c r="I24" s="153" t="n"/>
      <c r="J24" s="153" t="n"/>
      <c r="K24" s="154">
        <f>G24</f>
        <v/>
      </c>
      <c r="L24" s="154">
        <f>F24+K24</f>
        <v/>
      </c>
      <c r="M24" s="155" t="n"/>
      <c r="N24" s="157" t="n"/>
      <c r="O24" s="157" t="n"/>
      <c r="P24" s="157" t="n"/>
      <c r="R24" s="55" t="n"/>
    </row>
    <row r="25" customFormat="1" s="52">
      <c r="A25" s="65" t="inlineStr">
        <is>
          <t xml:space="preserve">Souselas </t>
        </is>
      </c>
      <c r="B25" s="87" t="n"/>
      <c r="C25" s="160" t="n"/>
      <c r="D25" s="152">
        <f>B25+C25</f>
        <v/>
      </c>
      <c r="E25" s="158" t="n"/>
      <c r="F25" s="152">
        <f>D25+E25</f>
        <v/>
      </c>
      <c r="G25" s="158" t="n"/>
      <c r="H25" s="153" t="n"/>
      <c r="I25" s="153" t="n"/>
      <c r="J25" s="153" t="n"/>
      <c r="K25" s="154">
        <f>G25</f>
        <v/>
      </c>
      <c r="L25" s="154">
        <f>F25+K25</f>
        <v/>
      </c>
      <c r="M25" s="155" t="n"/>
      <c r="N25" s="157" t="inlineStr">
        <is>
          <t xml:space="preserve">Souselas </t>
        </is>
      </c>
      <c r="O25" s="157" t="n">
        <v>40281210</v>
      </c>
      <c r="P25" s="157" t="n">
        <v>-8427798</v>
      </c>
      <c r="R25" s="55" t="n"/>
    </row>
    <row r="26" customFormat="1" s="52">
      <c r="A26" s="65" t="inlineStr">
        <is>
          <t>Ecocilo - Energia e Ambiente, SA</t>
        </is>
      </c>
      <c r="B26" s="87" t="n">
        <v>321000</v>
      </c>
      <c r="C26" s="88" t="n">
        <v>4786857.011494253</v>
      </c>
      <c r="D26" s="152">
        <f>B26+C26</f>
        <v/>
      </c>
      <c r="E26" s="158" t="n">
        <v>137242.7745</v>
      </c>
      <c r="F26" s="152">
        <f>D26+E26</f>
        <v/>
      </c>
      <c r="G26" s="158" t="n">
        <v>515739.096385541</v>
      </c>
      <c r="H26" s="153" t="n"/>
      <c r="I26" s="153" t="n"/>
      <c r="J26" s="153" t="n"/>
      <c r="K26" s="154">
        <f>G26</f>
        <v/>
      </c>
      <c r="L26" s="154">
        <f>F26+K26</f>
        <v/>
      </c>
      <c r="M26" s="155" t="n"/>
      <c r="N26" s="157" t="n"/>
      <c r="O26" s="157" t="n"/>
      <c r="P26" s="157" t="n"/>
      <c r="R26" s="55" t="n"/>
    </row>
    <row r="27" customFormat="1" s="52">
      <c r="A27" s="52" t="inlineStr">
        <is>
          <t>Sonae Client A Portugal SA</t>
        </is>
      </c>
      <c r="B27" s="87" t="n">
        <v>4025000</v>
      </c>
      <c r="C27" s="88" t="n">
        <v>848942.9885057471</v>
      </c>
      <c r="D27" s="152">
        <f>B27+C27</f>
        <v/>
      </c>
      <c r="E27" s="158" t="n">
        <v>1600913.36595</v>
      </c>
      <c r="F27" s="152">
        <f>D27+E27</f>
        <v/>
      </c>
      <c r="G27" s="158" t="n">
        <v>0</v>
      </c>
      <c r="H27" s="153" t="n"/>
      <c r="I27" s="153" t="n"/>
      <c r="J27" s="153" t="n"/>
      <c r="K27" s="154">
        <f>G27</f>
        <v/>
      </c>
      <c r="L27" s="154">
        <f>F27+K27</f>
        <v/>
      </c>
      <c r="M27" s="155" t="n"/>
      <c r="N27" s="157" t="inlineStr">
        <is>
          <t xml:space="preserve">Souselas </t>
        </is>
      </c>
      <c r="O27" s="157" t="n">
        <v>40281210</v>
      </c>
      <c r="P27" s="157" t="n">
        <v>-8427798</v>
      </c>
      <c r="R27" s="55" t="n"/>
    </row>
    <row r="28" customFormat="1" s="52">
      <c r="A28" s="55" t="inlineStr">
        <is>
          <t>Fajilde - Wh</t>
        </is>
      </c>
      <c r="B28" s="87" t="n"/>
      <c r="C28" s="88" t="n"/>
      <c r="D28" s="152">
        <f>B28+C28</f>
        <v/>
      </c>
      <c r="E28" s="158" t="n"/>
      <c r="F28" s="152">
        <f>D28+E28</f>
        <v/>
      </c>
      <c r="G28" s="158" t="n"/>
      <c r="H28" s="153" t="n"/>
      <c r="I28" s="153" t="n"/>
      <c r="J28" s="153" t="n"/>
      <c r="K28" s="154">
        <f>G28</f>
        <v/>
      </c>
      <c r="L28" s="154">
        <f>F28+K28</f>
        <v/>
      </c>
      <c r="M28" s="155" t="n"/>
      <c r="N28" s="157" t="n"/>
      <c r="O28" s="157" t="n"/>
      <c r="P28" s="157" t="n"/>
      <c r="R28" s="55" t="n"/>
    </row>
    <row r="29" customFormat="1" s="52">
      <c r="A29" s="55" t="inlineStr">
        <is>
          <t>Sonae Client A Portugal SA</t>
        </is>
      </c>
      <c r="B29" s="160" t="n">
        <v>0</v>
      </c>
      <c r="C29" s="160" t="n">
        <v>0</v>
      </c>
      <c r="D29" s="152">
        <f>B29+C29</f>
        <v/>
      </c>
      <c r="E29" s="158" t="n">
        <v>776360.2823249999</v>
      </c>
      <c r="F29" s="152">
        <f>D29+E29</f>
        <v/>
      </c>
      <c r="G29" s="158" t="n">
        <v>0</v>
      </c>
      <c r="H29" s="161" t="n"/>
      <c r="I29" s="161" t="n"/>
      <c r="J29" s="161" t="n"/>
      <c r="K29" s="154">
        <f>G29</f>
        <v/>
      </c>
      <c r="L29" s="154">
        <f>F29+K29</f>
        <v/>
      </c>
      <c r="M29" s="155" t="n"/>
      <c r="N29" s="157" t="inlineStr">
        <is>
          <t xml:space="preserve">Fajilde </t>
        </is>
      </c>
      <c r="O29" s="157" t="n">
        <v>40628303</v>
      </c>
      <c r="P29" s="157" t="inlineStr">
        <is>
          <t>-7 804 914</t>
        </is>
      </c>
      <c r="R29" s="55" t="n"/>
    </row>
    <row r="30" customFormat="1" s="52">
      <c r="A30" s="85" t="inlineStr">
        <is>
          <t>Lagos - Wh</t>
        </is>
      </c>
      <c r="B30" s="160" t="n"/>
      <c r="C30" s="160" t="n"/>
      <c r="D30" s="152">
        <f>B30+C30</f>
        <v/>
      </c>
      <c r="E30" s="158" t="n"/>
      <c r="F30" s="152">
        <f>D30+E30</f>
        <v/>
      </c>
      <c r="G30" s="158" t="n"/>
      <c r="H30" s="153" t="n"/>
      <c r="I30" s="153" t="n"/>
      <c r="J30" s="153" t="n"/>
      <c r="K30" s="154">
        <f>G30</f>
        <v/>
      </c>
      <c r="L30" s="154">
        <f>F30+K30</f>
        <v/>
      </c>
      <c r="M30" s="155" t="n"/>
      <c r="N30" s="157" t="n"/>
      <c r="O30" s="157" t="n"/>
      <c r="P30" s="157" t="n"/>
    </row>
    <row r="31">
      <c r="A31" s="65" t="inlineStr">
        <is>
          <t>Sonae Client A Portugal SA</t>
        </is>
      </c>
      <c r="B31" s="160" t="n">
        <v>0</v>
      </c>
      <c r="C31" s="160" t="n">
        <v>0</v>
      </c>
      <c r="D31" s="152">
        <f>B31+C31</f>
        <v/>
      </c>
      <c r="E31" s="158" t="n">
        <v>0</v>
      </c>
      <c r="F31" s="152">
        <f>D31+E31</f>
        <v/>
      </c>
      <c r="G31" s="158" t="n">
        <v>0</v>
      </c>
      <c r="H31" s="153" t="n"/>
      <c r="I31" s="153" t="n"/>
      <c r="J31" s="153" t="n"/>
      <c r="K31" s="154">
        <f>G31</f>
        <v/>
      </c>
      <c r="L31" s="154">
        <f>F31+K31</f>
        <v/>
      </c>
      <c r="M31" s="155" t="n"/>
      <c r="N31" s="157" t="inlineStr">
        <is>
          <t xml:space="preserve">Lagos </t>
        </is>
      </c>
      <c r="O31" s="157" t="n">
        <v>40368214</v>
      </c>
      <c r="P31" s="157" t="n">
        <v>-7822223</v>
      </c>
    </row>
    <row r="32" customFormat="1" s="52">
      <c r="A32" s="85" t="inlineStr">
        <is>
          <t>Lagos da Beira - Wh</t>
        </is>
      </c>
      <c r="B32" s="160" t="n"/>
      <c r="C32" s="160" t="n"/>
      <c r="D32" s="152">
        <f>B32+C32</f>
        <v/>
      </c>
      <c r="E32" s="158" t="n"/>
      <c r="F32" s="152">
        <f>D32+E32</f>
        <v/>
      </c>
      <c r="G32" s="158" t="n"/>
      <c r="H32" s="153" t="n"/>
      <c r="I32" s="153" t="n"/>
      <c r="J32" s="153" t="n"/>
      <c r="K32" s="154">
        <f>G32</f>
        <v/>
      </c>
      <c r="L32" s="154">
        <f>F32+K32</f>
        <v/>
      </c>
      <c r="M32" s="155" t="n"/>
      <c r="N32" s="157" t="n"/>
      <c r="O32" s="157" t="n"/>
      <c r="P32" s="157" t="n"/>
    </row>
    <row r="33">
      <c r="A33" s="65" t="inlineStr">
        <is>
          <t>Sonae Client A Portugal SA</t>
        </is>
      </c>
      <c r="B33" s="160" t="n">
        <v>0</v>
      </c>
      <c r="C33" s="160" t="n">
        <v>0</v>
      </c>
      <c r="D33" s="152">
        <f>B33+C33</f>
        <v/>
      </c>
      <c r="E33" s="158" t="n">
        <v>0</v>
      </c>
      <c r="F33" s="152">
        <f>D33+E33</f>
        <v/>
      </c>
      <c r="G33" s="158" t="n">
        <v>0</v>
      </c>
      <c r="H33" s="153" t="n"/>
      <c r="I33" s="153" t="n"/>
      <c r="J33" s="153" t="n"/>
      <c r="K33" s="154">
        <f>G33</f>
        <v/>
      </c>
      <c r="L33" s="154">
        <f>F33+K33</f>
        <v/>
      </c>
      <c r="M33" s="155" t="n"/>
      <c r="N33" s="157" t="inlineStr">
        <is>
          <t>Lagos da Beira</t>
        </is>
      </c>
      <c r="O33" s="157" t="n"/>
      <c r="P33" s="157" t="n"/>
    </row>
    <row r="34" customFormat="1" s="52">
      <c r="A34" s="85" t="inlineStr">
        <is>
          <t>Macieira - Wh</t>
        </is>
      </c>
      <c r="B34" s="160" t="n"/>
      <c r="C34" s="160" t="n"/>
      <c r="D34" s="152">
        <f>B34+C34</f>
        <v/>
      </c>
      <c r="E34" s="158" t="n"/>
      <c r="F34" s="152">
        <f>D34+E34</f>
        <v/>
      </c>
      <c r="G34" s="158" t="n"/>
      <c r="H34" s="153" t="n"/>
      <c r="I34" s="153" t="n"/>
      <c r="J34" s="153" t="n"/>
      <c r="K34" s="154">
        <f>G34</f>
        <v/>
      </c>
      <c r="L34" s="154">
        <f>F34+K34</f>
        <v/>
      </c>
      <c r="M34" s="155" t="n"/>
      <c r="N34" s="157" t="n"/>
      <c r="O34" s="157" t="n"/>
      <c r="P34" s="157" t="n"/>
    </row>
    <row r="35">
      <c r="A35" s="65" t="inlineStr">
        <is>
          <t>Sonae Client A Portugal SA</t>
        </is>
      </c>
      <c r="B35" s="160" t="n">
        <v>0</v>
      </c>
      <c r="C35" s="160" t="n">
        <v>0</v>
      </c>
      <c r="D35" s="152">
        <f>B35+C35</f>
        <v/>
      </c>
      <c r="E35" s="158" t="n">
        <v>0</v>
      </c>
      <c r="F35" s="152">
        <f>D35+E35</f>
        <v/>
      </c>
      <c r="G35" s="158" t="n">
        <v>0</v>
      </c>
      <c r="H35" s="153" t="n"/>
      <c r="I35" s="153" t="n"/>
      <c r="J35" s="153" t="n"/>
      <c r="K35" s="154">
        <f>G35</f>
        <v/>
      </c>
      <c r="L35" s="154">
        <f>F35+K35</f>
        <v/>
      </c>
      <c r="M35" s="155" t="n"/>
      <c r="N35" s="157" t="inlineStr">
        <is>
          <t xml:space="preserve">Macieira </t>
        </is>
      </c>
      <c r="O35" s="157" t="n">
        <v>40316712</v>
      </c>
      <c r="P35" s="157" t="n">
        <v>-7822245</v>
      </c>
    </row>
    <row r="36" customFormat="1" s="52">
      <c r="A36" s="85" t="inlineStr">
        <is>
          <t>São Cosmado I - Wh</t>
        </is>
      </c>
      <c r="B36" s="160" t="n"/>
      <c r="C36" s="160" t="n"/>
      <c r="D36" s="152">
        <f>B36+C36</f>
        <v/>
      </c>
      <c r="E36" s="158" t="n"/>
      <c r="F36" s="152">
        <f>D36+E36</f>
        <v/>
      </c>
      <c r="G36" s="158" t="n"/>
      <c r="H36" s="153" t="n"/>
      <c r="I36" s="153" t="n"/>
      <c r="J36" s="153" t="n"/>
      <c r="K36" s="154">
        <f>G36</f>
        <v/>
      </c>
      <c r="L36" s="154">
        <f>F36+K36</f>
        <v/>
      </c>
      <c r="M36" s="155" t="n"/>
      <c r="N36" s="157" t="n"/>
      <c r="O36" s="157" t="n"/>
      <c r="P36" s="157" t="n"/>
    </row>
    <row r="37">
      <c r="A37" s="65" t="inlineStr">
        <is>
          <t>Sonae Client A Portugal SA</t>
        </is>
      </c>
      <c r="B37" s="160" t="n">
        <v>0</v>
      </c>
      <c r="C37" s="160" t="n">
        <v>0</v>
      </c>
      <c r="D37" s="152">
        <f>B37+C37</f>
        <v/>
      </c>
      <c r="E37" s="158" t="n"/>
      <c r="F37" s="152">
        <f>D37+E37</f>
        <v/>
      </c>
      <c r="G37" s="158" t="n">
        <v>0</v>
      </c>
      <c r="H37" s="161" t="n"/>
      <c r="I37" s="161" t="n"/>
      <c r="J37" s="161" t="n"/>
      <c r="K37" s="154">
        <f>G37</f>
        <v/>
      </c>
      <c r="L37" s="154">
        <f>F37+K37</f>
        <v/>
      </c>
      <c r="M37" s="155" t="n"/>
      <c r="N37" s="157" t="inlineStr">
        <is>
          <t>São Cosmado</t>
        </is>
      </c>
      <c r="O37" s="157" t="n">
        <v>40611812</v>
      </c>
      <c r="P37" s="157" t="inlineStr">
        <is>
          <t>-7 783 192</t>
        </is>
      </c>
    </row>
    <row r="38" customFormat="1" s="52">
      <c r="A38" s="85" t="inlineStr">
        <is>
          <t>São Cosmado II - Wh</t>
        </is>
      </c>
      <c r="B38" s="152" t="n"/>
      <c r="C38" s="152" t="n"/>
      <c r="D38" s="152">
        <f>B38+C38</f>
        <v/>
      </c>
      <c r="E38" s="152" t="n"/>
      <c r="F38" s="152">
        <f>D38+E38</f>
        <v/>
      </c>
      <c r="G38" s="152" t="n"/>
      <c r="H38" s="153" t="n"/>
      <c r="I38" s="153" t="n"/>
      <c r="J38" s="153" t="n"/>
      <c r="K38" s="154">
        <f>G38</f>
        <v/>
      </c>
      <c r="L38" s="154">
        <f>F38+K38</f>
        <v/>
      </c>
      <c r="M38" s="155" t="n"/>
      <c r="N38" s="157" t="n"/>
      <c r="O38" s="157" t="n"/>
      <c r="P38" s="157" t="n"/>
    </row>
    <row r="39" ht="13.5" customHeight="1" s="133" thickBot="1">
      <c r="A39" s="65" t="inlineStr">
        <is>
          <t>Sonae Client A Portugal SA</t>
        </is>
      </c>
      <c r="B39" s="152" t="n">
        <v>0</v>
      </c>
      <c r="C39" s="152" t="n">
        <v>0</v>
      </c>
      <c r="D39" s="152">
        <f>B39+C39</f>
        <v/>
      </c>
      <c r="E39" s="158" t="n">
        <v>1457106.694275</v>
      </c>
      <c r="F39" s="152">
        <f>D39+E39</f>
        <v/>
      </c>
      <c r="G39" s="152" t="n">
        <v>0</v>
      </c>
      <c r="H39" s="153" t="n"/>
      <c r="I39" s="153" t="n"/>
      <c r="J39" s="153" t="n"/>
      <c r="K39" s="154">
        <f>G39</f>
        <v/>
      </c>
      <c r="L39" s="154">
        <f>F39+K39</f>
        <v/>
      </c>
      <c r="M39" s="155" t="n"/>
      <c r="N39" s="157" t="inlineStr">
        <is>
          <t>São Cosmado</t>
        </is>
      </c>
      <c r="O39" s="157" t="n">
        <v>40611812</v>
      </c>
      <c r="P39" s="157" t="inlineStr">
        <is>
          <t>-7 783 192</t>
        </is>
      </c>
    </row>
    <row r="40" ht="15.75" customFormat="1" customHeight="1" s="52" thickBot="1">
      <c r="A40" s="69" t="inlineStr">
        <is>
          <t xml:space="preserve">Total Sonae Client A Portugal (EUR) </t>
        </is>
      </c>
      <c r="B40" s="162">
        <f>SUM(B7:B39)</f>
        <v/>
      </c>
      <c r="C40" s="162">
        <f>SUM(C7:C39)</f>
        <v/>
      </c>
      <c r="D40" s="162">
        <f>SUM(D7:D39)</f>
        <v/>
      </c>
      <c r="E40" s="162">
        <f>SUM(E7:E39)</f>
        <v/>
      </c>
      <c r="F40" s="162">
        <f>SUM(F7:F39)</f>
        <v/>
      </c>
      <c r="G40" s="162">
        <f>SUM(G7:G39)</f>
        <v/>
      </c>
      <c r="H40" s="162">
        <f>SUM(H7:H39)</f>
        <v/>
      </c>
      <c r="I40" s="162">
        <f>SUM(I7:I39)</f>
        <v/>
      </c>
      <c r="J40" s="162">
        <f>SUM(J7:J39)</f>
        <v/>
      </c>
      <c r="K40" s="162">
        <f>SUM(K7:K39)</f>
        <v/>
      </c>
      <c r="L40" s="162">
        <f>SUM(L7:L39)</f>
        <v/>
      </c>
      <c r="M40" s="70" t="n"/>
      <c r="N40" s="163" t="n"/>
      <c r="O40" s="164" t="n"/>
      <c r="P40" s="165" t="n"/>
      <c r="R40" s="55" t="n"/>
    </row>
    <row r="41" customFormat="1" s="52">
      <c r="A41" s="82" t="inlineStr">
        <is>
          <t>SONAE Client A - Spain</t>
        </is>
      </c>
      <c r="B41" s="152" t="n"/>
      <c r="C41" s="152" t="n"/>
      <c r="D41" s="152" t="n"/>
      <c r="E41" s="152" t="n"/>
      <c r="F41" s="152" t="n"/>
      <c r="G41" s="152" t="n"/>
      <c r="H41" s="152" t="n"/>
      <c r="I41" s="152" t="n"/>
      <c r="J41" s="152" t="n"/>
      <c r="K41" s="154" t="n"/>
      <c r="L41" s="153" t="n"/>
      <c r="M41" s="79" t="n"/>
      <c r="N41" s="126" t="n"/>
      <c r="O41" s="79" t="n"/>
      <c r="P41" s="81" t="n"/>
      <c r="R41" s="55" t="n"/>
    </row>
    <row r="42" customFormat="1" s="52">
      <c r="A42" s="85" t="inlineStr">
        <is>
          <t xml:space="preserve">Cuellar </t>
        </is>
      </c>
      <c r="B42" s="152" t="n"/>
      <c r="C42" s="152" t="n"/>
      <c r="D42" s="152" t="n"/>
      <c r="E42" s="152" t="n"/>
      <c r="F42" s="152" t="n"/>
      <c r="G42" s="152" t="n"/>
      <c r="H42" s="152" t="n"/>
      <c r="I42" s="152" t="n"/>
      <c r="J42" s="152" t="n"/>
      <c r="K42" s="154" t="n"/>
      <c r="L42" s="153" t="n"/>
      <c r="M42" s="79" t="n"/>
      <c r="N42" s="126" t="n"/>
      <c r="O42" s="79" t="n"/>
      <c r="P42" s="81" t="n"/>
      <c r="R42" s="55" t="n"/>
    </row>
    <row r="43" customFormat="1" s="52">
      <c r="A43" s="85" t="inlineStr">
        <is>
          <t>Asserraderos de Cuellar, SA</t>
        </is>
      </c>
      <c r="B43" s="96" t="n">
        <v>3018000</v>
      </c>
      <c r="C43" s="97" t="n">
        <v>24118000</v>
      </c>
      <c r="D43" s="152">
        <f>B43+C43</f>
        <v/>
      </c>
      <c r="E43" s="158" t="n">
        <v>3024365.8395</v>
      </c>
      <c r="F43" s="152">
        <f>D43+E43</f>
        <v/>
      </c>
      <c r="G43" s="158" t="n">
        <v>4060240.103811111</v>
      </c>
      <c r="H43" s="152" t="n"/>
      <c r="I43" s="152" t="n"/>
      <c r="J43" s="152" t="n"/>
      <c r="K43" s="154">
        <f>SUM(G43:J43)</f>
        <v/>
      </c>
      <c r="L43" s="152">
        <f>F43+K43</f>
        <v/>
      </c>
      <c r="M43" s="64" t="n"/>
      <c r="N43" s="53" t="inlineStr">
        <is>
          <t xml:space="preserve">Cuellar </t>
        </is>
      </c>
      <c r="O43" s="98" t="n">
        <v>41358943</v>
      </c>
      <c r="P43" s="99" t="n">
        <v>-4301235</v>
      </c>
      <c r="R43" s="55" t="n"/>
    </row>
    <row r="44" customFormat="1" s="52">
      <c r="A44" s="65" t="inlineStr">
        <is>
          <t xml:space="preserve">Linares </t>
        </is>
      </c>
      <c r="B44" s="96" t="n"/>
      <c r="C44" s="97" t="n"/>
      <c r="D44" s="152">
        <f>B44+C44</f>
        <v/>
      </c>
      <c r="E44" s="166" t="n"/>
      <c r="F44" s="152">
        <f>D44+E44</f>
        <v/>
      </c>
      <c r="G44" s="166" t="n"/>
      <c r="H44" s="152" t="n"/>
      <c r="I44" s="152" t="n"/>
      <c r="J44" s="152" t="n"/>
      <c r="K44" s="154">
        <f>SUM(G44:J44)</f>
        <v/>
      </c>
      <c r="L44" s="152">
        <f>F44+K44</f>
        <v/>
      </c>
      <c r="M44" s="64" t="n"/>
      <c r="N44" s="53" t="n"/>
      <c r="O44" s="98" t="n"/>
      <c r="P44" s="99" t="n"/>
      <c r="R44" s="55" t="n"/>
    </row>
    <row r="45" ht="13.5" customFormat="1" customHeight="1" s="52">
      <c r="A45" s="85" t="inlineStr">
        <is>
          <t>Tecmasa, Tecnologias del Medioambiente, SA</t>
        </is>
      </c>
      <c r="B45" s="96" t="n"/>
      <c r="C45" s="97" t="n"/>
      <c r="D45" s="152">
        <f>B45+C45</f>
        <v/>
      </c>
      <c r="E45" s="158" t="n">
        <v>154233.42825</v>
      </c>
      <c r="F45" s="152">
        <f>D45+E45</f>
        <v/>
      </c>
      <c r="G45" s="158" t="n">
        <v>390374.216618242</v>
      </c>
      <c r="H45" s="152" t="n"/>
      <c r="I45" s="152" t="n"/>
      <c r="J45" s="152" t="n"/>
      <c r="K45" s="154">
        <f>SUM(G45:J45)</f>
        <v/>
      </c>
      <c r="L45" s="152">
        <f>F45+K45</f>
        <v/>
      </c>
      <c r="M45" s="64" t="n"/>
      <c r="N45" s="53" t="inlineStr">
        <is>
          <t xml:space="preserve">Linares </t>
        </is>
      </c>
      <c r="O45" s="98" t="n">
        <v>38054947</v>
      </c>
      <c r="P45" s="99" t="n">
        <v>-3593054</v>
      </c>
      <c r="R45" s="55" t="n"/>
    </row>
    <row r="46" ht="13.5" customFormat="1" customHeight="1" s="52">
      <c r="A46" s="65" t="inlineStr">
        <is>
          <t xml:space="preserve">Valladolid </t>
        </is>
      </c>
      <c r="B46" s="96" t="n"/>
      <c r="C46" s="97" t="n"/>
      <c r="D46" s="152">
        <f>B46+C46</f>
        <v/>
      </c>
      <c r="E46" s="166" t="n"/>
      <c r="F46" s="152">
        <f>D46+E46</f>
        <v/>
      </c>
      <c r="G46" s="166" t="n"/>
      <c r="H46" s="152" t="n"/>
      <c r="I46" s="152" t="n"/>
      <c r="J46" s="152" t="n"/>
      <c r="K46" s="154">
        <f>SUM(G46:J46)</f>
        <v/>
      </c>
      <c r="L46" s="152">
        <f>F46+K46</f>
        <v/>
      </c>
      <c r="M46" s="64" t="n"/>
      <c r="N46" s="53" t="n"/>
      <c r="O46" s="98" t="n"/>
      <c r="P46" s="99" t="n"/>
      <c r="R46" s="55" t="n"/>
    </row>
    <row r="47" ht="13.5" customFormat="1" customHeight="1" s="52">
      <c r="A47" s="85" t="inlineStr">
        <is>
          <t>Sonae Client A España</t>
        </is>
      </c>
      <c r="B47" s="96" t="n">
        <v>17824000</v>
      </c>
      <c r="C47" s="97" t="n">
        <v>65302000</v>
      </c>
      <c r="D47" s="152">
        <f>B47+C47</f>
        <v/>
      </c>
      <c r="E47" s="158" t="n">
        <v>4240934.424</v>
      </c>
      <c r="F47" s="152">
        <f>D47+E47</f>
        <v/>
      </c>
      <c r="G47" s="158" t="n">
        <v>12330652.56972222</v>
      </c>
      <c r="H47" s="152" t="n"/>
      <c r="I47" s="152" t="n"/>
      <c r="J47" s="152" t="n"/>
      <c r="K47" s="154">
        <f>SUM(G47:J47)</f>
        <v/>
      </c>
      <c r="L47" s="152">
        <f>F47+K47</f>
        <v/>
      </c>
      <c r="M47" s="64" t="n"/>
      <c r="N47" s="53" t="inlineStr">
        <is>
          <t xml:space="preserve">Valladolid </t>
        </is>
      </c>
      <c r="O47" s="98" t="n">
        <v>41682552</v>
      </c>
      <c r="P47" s="99" t="n">
        <v>-4719178</v>
      </c>
      <c r="R47" s="55" t="n"/>
    </row>
    <row r="48" ht="13.5" customFormat="1" customHeight="1" s="52">
      <c r="A48" s="55" t="inlineStr">
        <is>
          <t>Tecmasa, Tecnologias del Medioambiente, SA</t>
        </is>
      </c>
      <c r="B48" s="96" t="n"/>
      <c r="C48" s="97" t="n">
        <v>875000</v>
      </c>
      <c r="D48" s="152">
        <f>B48+C48</f>
        <v/>
      </c>
      <c r="E48" s="158" t="n">
        <v>1352790.4035</v>
      </c>
      <c r="F48" s="152">
        <f>D48+E48</f>
        <v/>
      </c>
      <c r="G48" s="158" t="n">
        <v>203066.9949411502</v>
      </c>
      <c r="H48" s="152" t="n"/>
      <c r="I48" s="152" t="n"/>
      <c r="J48" s="152" t="n"/>
      <c r="K48" s="154">
        <f>SUM(G48:J48)</f>
        <v/>
      </c>
      <c r="L48" s="152">
        <f>F48+K48</f>
        <v/>
      </c>
      <c r="M48" s="64" t="n"/>
      <c r="N48" s="53" t="n"/>
      <c r="O48" s="98" t="n"/>
      <c r="P48" s="99" t="n"/>
      <c r="R48" s="55" t="n"/>
    </row>
    <row r="49" ht="13.5" customFormat="1" customHeight="1" s="52">
      <c r="A49" s="65" t="inlineStr">
        <is>
          <t>Albacete</t>
        </is>
      </c>
      <c r="B49" s="96" t="n"/>
      <c r="C49" s="97" t="n"/>
      <c r="D49" s="152">
        <f>B49+C49</f>
        <v/>
      </c>
      <c r="E49" s="166" t="n"/>
      <c r="F49" s="152">
        <f>D49+E49</f>
        <v/>
      </c>
      <c r="G49" s="166" t="n"/>
      <c r="H49" s="152" t="n"/>
      <c r="I49" s="152" t="n"/>
      <c r="J49" s="152" t="n"/>
      <c r="K49" s="154">
        <f>SUM(G49:J49)</f>
        <v/>
      </c>
      <c r="L49" s="152">
        <f>F49+K49</f>
        <v/>
      </c>
      <c r="M49" s="64" t="n"/>
      <c r="N49" s="53" t="n"/>
      <c r="O49" s="98" t="n"/>
      <c r="P49" s="99" t="n"/>
      <c r="R49" s="55" t="n"/>
    </row>
    <row r="50" ht="13.5" customFormat="1" customHeight="1" s="52">
      <c r="A50" s="85" t="inlineStr">
        <is>
          <t>Tecmasa, Tecnologias del Medioambiente, SA</t>
        </is>
      </c>
      <c r="B50" s="96" t="n">
        <v>293000</v>
      </c>
      <c r="C50" s="97" t="n">
        <v>1836000</v>
      </c>
      <c r="D50" s="152">
        <f>B50+C50</f>
        <v/>
      </c>
      <c r="E50" s="158" t="n">
        <v>77825.94374999999</v>
      </c>
      <c r="F50" s="152">
        <f>D50+E50</f>
        <v/>
      </c>
      <c r="G50" s="158" t="n">
        <v>227877.140000002</v>
      </c>
      <c r="H50" s="152" t="n"/>
      <c r="I50" s="152" t="n"/>
      <c r="J50" s="152" t="n"/>
      <c r="K50" s="154">
        <f>SUM(G50:J50)</f>
        <v/>
      </c>
      <c r="L50" s="152">
        <f>F50+K50</f>
        <v/>
      </c>
      <c r="M50" s="64" t="n"/>
      <c r="N50" s="53" t="inlineStr">
        <is>
          <t>Albacete</t>
        </is>
      </c>
      <c r="O50" s="98" t="n">
        <v>38796373</v>
      </c>
      <c r="P50" s="99" t="n">
        <v>-1729274</v>
      </c>
      <c r="R50" s="55" t="n"/>
    </row>
    <row r="51" ht="13.5" customFormat="1" customHeight="1" s="52">
      <c r="A51" s="65" t="inlineStr">
        <is>
          <t>Arganda</t>
        </is>
      </c>
      <c r="B51" s="96" t="n"/>
      <c r="C51" s="97" t="n"/>
      <c r="D51" s="152">
        <f>B51+C51</f>
        <v/>
      </c>
      <c r="E51" s="166" t="n"/>
      <c r="F51" s="152">
        <f>D51+E51</f>
        <v/>
      </c>
      <c r="G51" s="166" t="n"/>
      <c r="H51" s="152" t="n"/>
      <c r="I51" s="152" t="n"/>
      <c r="J51" s="152" t="n"/>
      <c r="K51" s="154">
        <f>SUM(G51:J51)</f>
        <v/>
      </c>
      <c r="L51" s="152">
        <f>F51+K51</f>
        <v/>
      </c>
      <c r="M51" s="64" t="n"/>
      <c r="N51" s="53" t="n"/>
      <c r="O51" s="98" t="n"/>
      <c r="P51" s="99" t="n"/>
      <c r="R51" s="55" t="n"/>
    </row>
    <row r="52" ht="13.5" customFormat="1" customHeight="1" s="52">
      <c r="A52" s="52" t="inlineStr">
        <is>
          <t>Tecmasa, Tecnologias del Medioambiente, SA</t>
        </is>
      </c>
      <c r="B52" s="96" t="n">
        <v>153000</v>
      </c>
      <c r="C52" s="97" t="n">
        <v>2205000</v>
      </c>
      <c r="D52" s="152">
        <f>B52+C52</f>
        <v/>
      </c>
      <c r="E52" s="158" t="n">
        <v>19485.08175</v>
      </c>
      <c r="F52" s="152">
        <f>D52+E52</f>
        <v/>
      </c>
      <c r="G52" s="158" t="n">
        <v>306839.478260871</v>
      </c>
      <c r="H52" s="152" t="n"/>
      <c r="I52" s="152" t="n"/>
      <c r="J52" s="152" t="n"/>
      <c r="K52" s="154">
        <f>SUM(G52:J52)</f>
        <v/>
      </c>
      <c r="L52" s="152">
        <f>F52+K52</f>
        <v/>
      </c>
      <c r="M52" s="64" t="n"/>
      <c r="N52" s="53" t="inlineStr">
        <is>
          <t>Arganda</t>
        </is>
      </c>
      <c r="O52" s="98" t="n">
        <v>40271238</v>
      </c>
      <c r="P52" s="99" t="n">
        <v>-3403348</v>
      </c>
      <c r="R52" s="55" t="n"/>
    </row>
    <row r="53" ht="13.5" customFormat="1" customHeight="1" s="52">
      <c r="A53" s="55" t="inlineStr">
        <is>
          <t>Barberá</t>
        </is>
      </c>
      <c r="B53" s="96" t="n"/>
      <c r="C53" s="97" t="n"/>
      <c r="D53" s="152">
        <f>B53+C53</f>
        <v/>
      </c>
      <c r="E53" s="166" t="n"/>
      <c r="F53" s="152">
        <f>D53+E53</f>
        <v/>
      </c>
      <c r="G53" s="166" t="n"/>
      <c r="H53" s="152" t="n"/>
      <c r="I53" s="152" t="n"/>
      <c r="J53" s="152" t="n"/>
      <c r="K53" s="154">
        <f>SUM(G53:J53)</f>
        <v/>
      </c>
      <c r="L53" s="152">
        <f>F53+K53</f>
        <v/>
      </c>
      <c r="M53" s="64" t="n"/>
      <c r="N53" s="53" t="n"/>
      <c r="O53" s="98" t="n"/>
      <c r="P53" s="99" t="n"/>
      <c r="R53" s="55" t="n"/>
    </row>
    <row r="54" ht="13.5" customFormat="1" customHeight="1" s="52">
      <c r="A54" s="52" t="inlineStr">
        <is>
          <t>Tecmasa, Tecnologias del Medioambiente, SA</t>
        </is>
      </c>
      <c r="B54" s="96" t="n">
        <v>229000</v>
      </c>
      <c r="C54" s="97" t="n">
        <v>974000</v>
      </c>
      <c r="D54" s="152">
        <f>B54+C54</f>
        <v/>
      </c>
      <c r="E54" s="158" t="n">
        <v>894.534</v>
      </c>
      <c r="F54" s="152">
        <f>D54+E54</f>
        <v/>
      </c>
      <c r="G54" s="158" t="n">
        <v>257660.869565216</v>
      </c>
      <c r="H54" s="152" t="n"/>
      <c r="I54" s="152" t="n"/>
      <c r="J54" s="152" t="n"/>
      <c r="K54" s="154">
        <f>SUM(G54:J54)</f>
        <v/>
      </c>
      <c r="L54" s="152">
        <f>F54+K54</f>
        <v/>
      </c>
      <c r="M54" s="64" t="n"/>
      <c r="N54" s="53" t="inlineStr">
        <is>
          <t>Barberá</t>
        </is>
      </c>
      <c r="O54" s="98" t="n">
        <v>41515790</v>
      </c>
      <c r="P54" s="99" t="n">
        <v>-2156139</v>
      </c>
      <c r="R54" s="55" t="n"/>
    </row>
    <row r="55" ht="13.5" customFormat="1" customHeight="1" s="52">
      <c r="A55" s="55" t="inlineStr">
        <is>
          <t>Fuenlabrada</t>
        </is>
      </c>
      <c r="B55" s="96" t="n"/>
      <c r="C55" s="97" t="n"/>
      <c r="D55" s="152">
        <f>B55+C55</f>
        <v/>
      </c>
      <c r="E55" s="166" t="n"/>
      <c r="F55" s="152">
        <f>D55+E55</f>
        <v/>
      </c>
      <c r="G55" s="166" t="n"/>
      <c r="H55" s="152" t="n"/>
      <c r="I55" s="152" t="n"/>
      <c r="J55" s="152" t="n"/>
      <c r="K55" s="154">
        <f>SUM(G55:J55)</f>
        <v/>
      </c>
      <c r="L55" s="152">
        <f>F55+K55</f>
        <v/>
      </c>
      <c r="M55" s="64" t="n"/>
      <c r="N55" s="53" t="n"/>
      <c r="O55" s="98" t="n"/>
      <c r="P55" s="99" t="n"/>
      <c r="R55" s="55" t="n"/>
    </row>
    <row r="56" ht="13.5" customFormat="1" customHeight="1" s="52">
      <c r="A56" s="52" t="inlineStr">
        <is>
          <t>Tecmasa, Tecnologias del Medioambiente, SA</t>
        </is>
      </c>
      <c r="B56" s="96" t="n">
        <v>554000</v>
      </c>
      <c r="C56" s="97" t="n">
        <v>1808000</v>
      </c>
      <c r="D56" s="152">
        <f>B56+C56</f>
        <v/>
      </c>
      <c r="E56" s="158" t="n">
        <v>31174.12575</v>
      </c>
      <c r="F56" s="152">
        <f>D56+E56</f>
        <v/>
      </c>
      <c r="G56" s="158" t="n">
        <v>631643.478260866</v>
      </c>
      <c r="H56" s="152" t="n"/>
      <c r="I56" s="152" t="n"/>
      <c r="J56" s="152" t="n"/>
      <c r="K56" s="154">
        <f>SUM(G56:J56)</f>
        <v/>
      </c>
      <c r="L56" s="152">
        <f>F56+K56</f>
        <v/>
      </c>
      <c r="M56" s="64" t="n"/>
      <c r="N56" s="53" t="inlineStr">
        <is>
          <t>Fuenlabrada</t>
        </is>
      </c>
      <c r="O56" s="98" t="n">
        <v>40265393</v>
      </c>
      <c r="P56" s="99" t="n">
        <v>-3764987</v>
      </c>
      <c r="R56" s="55" t="n"/>
    </row>
    <row r="57" ht="13.5" customFormat="1" customHeight="1" s="52">
      <c r="A57" s="55" t="inlineStr">
        <is>
          <t>Llinars</t>
        </is>
      </c>
      <c r="B57" s="96" t="n"/>
      <c r="C57" s="97" t="n"/>
      <c r="D57" s="152">
        <f>B57+C57</f>
        <v/>
      </c>
      <c r="E57" s="166" t="n"/>
      <c r="F57" s="152">
        <f>D57+E57</f>
        <v/>
      </c>
      <c r="G57" s="166" t="n"/>
      <c r="H57" s="152" t="n"/>
      <c r="I57" s="152" t="n"/>
      <c r="J57" s="152" t="n"/>
      <c r="K57" s="154">
        <f>SUM(G57:J57)</f>
        <v/>
      </c>
      <c r="L57" s="152">
        <f>F57+K57</f>
        <v/>
      </c>
      <c r="M57" s="64" t="n"/>
      <c r="N57" s="53" t="n"/>
      <c r="O57" s="98" t="n"/>
      <c r="P57" s="99" t="n"/>
      <c r="R57" s="55" t="n"/>
    </row>
    <row r="58" ht="13.5" customFormat="1" customHeight="1" s="52">
      <c r="A58" s="52" t="inlineStr">
        <is>
          <t>Tecmasa, Tecnologias del Medioambiente, SA</t>
        </is>
      </c>
      <c r="B58" s="96" t="n">
        <v>299000</v>
      </c>
      <c r="C58" s="97" t="n">
        <v>4346000</v>
      </c>
      <c r="D58" s="152">
        <f>B58+C58</f>
        <v/>
      </c>
      <c r="E58" s="158" t="n">
        <v>137408.7705</v>
      </c>
      <c r="F58" s="152">
        <f>D58+E58</f>
        <v/>
      </c>
      <c r="G58" s="158" t="n">
        <v>381213.060000001</v>
      </c>
      <c r="H58" s="152" t="n"/>
      <c r="I58" s="152" t="n"/>
      <c r="J58" s="152" t="n"/>
      <c r="K58" s="154">
        <f>SUM(G58:J58)</f>
        <v/>
      </c>
      <c r="L58" s="152">
        <f>F58+K58</f>
        <v/>
      </c>
      <c r="M58" s="64" t="n"/>
      <c r="N58" s="53" t="inlineStr">
        <is>
          <t>Llinars</t>
        </is>
      </c>
      <c r="O58" s="98" t="n">
        <v>41657551</v>
      </c>
      <c r="P58" s="99" t="n">
        <v>-2428563</v>
      </c>
      <c r="R58" s="55" t="n"/>
    </row>
    <row r="59" ht="13.5" customFormat="1" customHeight="1" s="52">
      <c r="A59" s="55" t="inlineStr">
        <is>
          <t>Cantalejo</t>
        </is>
      </c>
      <c r="B59" s="96" t="n"/>
      <c r="C59" s="97" t="n"/>
      <c r="D59" s="152">
        <f>B59+C59</f>
        <v/>
      </c>
      <c r="E59" s="166" t="n"/>
      <c r="F59" s="152">
        <f>D59+E59</f>
        <v/>
      </c>
      <c r="G59" s="166" t="n"/>
      <c r="H59" s="152" t="n"/>
      <c r="I59" s="152" t="n"/>
      <c r="J59" s="152" t="n"/>
      <c r="K59" s="154">
        <f>SUM(G59:J59)</f>
        <v/>
      </c>
      <c r="L59" s="152">
        <f>F59+K59</f>
        <v/>
      </c>
      <c r="M59" s="64" t="n"/>
      <c r="N59" s="53" t="n"/>
      <c r="O59" s="98" t="n"/>
      <c r="P59" s="99" t="n"/>
      <c r="R59" s="55" t="n"/>
    </row>
    <row r="60" ht="13.5" customFormat="1" customHeight="1" s="52">
      <c r="A60" s="52" t="inlineStr">
        <is>
          <t>Tecmasa, Tecnologias del Medioambiente, SA</t>
        </is>
      </c>
      <c r="B60" s="96" t="n">
        <v>140000</v>
      </c>
      <c r="C60" s="97" t="n">
        <v>1450000</v>
      </c>
      <c r="D60" s="152">
        <f>B60+C60</f>
        <v/>
      </c>
      <c r="E60" s="158" t="n">
        <v>52183.02374999999</v>
      </c>
      <c r="F60" s="152">
        <f>D60+E60</f>
        <v/>
      </c>
      <c r="G60" s="158" t="n">
        <v>154724.999999998</v>
      </c>
      <c r="H60" s="152" t="n"/>
      <c r="I60" s="152" t="n"/>
      <c r="J60" s="152" t="n"/>
      <c r="K60" s="154">
        <f>SUM(G60:J60)</f>
        <v/>
      </c>
      <c r="L60" s="152">
        <f>F60+K60</f>
        <v/>
      </c>
      <c r="M60" s="64" t="n"/>
      <c r="N60" s="53" t="inlineStr">
        <is>
          <t>Cantalejo</t>
        </is>
      </c>
      <c r="O60" s="98" t="n">
        <v>41160610</v>
      </c>
      <c r="P60" s="99" t="n">
        <v>-3554484</v>
      </c>
      <c r="R60" s="55" t="n"/>
    </row>
    <row r="61" ht="13.5" customFormat="1" customHeight="1" s="52">
      <c r="A61" s="55" t="inlineStr">
        <is>
          <t>Sevilha</t>
        </is>
      </c>
      <c r="B61" s="96" t="n"/>
      <c r="C61" s="97" t="n"/>
      <c r="D61" s="152">
        <f>B61+C61</f>
        <v/>
      </c>
      <c r="E61" s="166" t="n"/>
      <c r="F61" s="152">
        <f>D61+E61</f>
        <v/>
      </c>
      <c r="G61" s="158" t="n"/>
      <c r="H61" s="152" t="n"/>
      <c r="I61" s="152" t="n"/>
      <c r="J61" s="152" t="n"/>
      <c r="K61" s="154">
        <f>SUM(G61:J61)</f>
        <v/>
      </c>
      <c r="L61" s="152">
        <f>F61+K61</f>
        <v/>
      </c>
      <c r="M61" s="64" t="n"/>
      <c r="N61" s="53" t="n"/>
      <c r="O61" s="98" t="n"/>
      <c r="P61" s="99" t="n"/>
      <c r="R61" s="55" t="n"/>
    </row>
    <row r="62" ht="13.5" customFormat="1" customHeight="1" s="52">
      <c r="A62" s="55" t="inlineStr">
        <is>
          <t>Tecmasa Reciclados Andalucia, LDA</t>
        </is>
      </c>
      <c r="B62" s="96" t="n">
        <v>388321</v>
      </c>
      <c r="C62" s="97" t="n">
        <v>435135</v>
      </c>
      <c r="D62" s="152">
        <f>B62+C62</f>
        <v/>
      </c>
      <c r="E62" s="158" t="n">
        <v>11727.43875</v>
      </c>
      <c r="F62" s="152">
        <f>D62+E62</f>
        <v/>
      </c>
      <c r="G62" s="158" t="n">
        <v>251012</v>
      </c>
      <c r="H62" s="152" t="n"/>
      <c r="I62" s="152" t="n"/>
      <c r="J62" s="152" t="n"/>
      <c r="K62" s="154">
        <f>SUM(G62:J62)</f>
        <v/>
      </c>
      <c r="L62" s="152">
        <f>F62+K62</f>
        <v/>
      </c>
      <c r="M62" s="64" t="n"/>
      <c r="N62" s="53" t="n"/>
      <c r="O62" s="98" t="n"/>
      <c r="P62" s="99" t="n"/>
      <c r="R62" s="55" t="n"/>
    </row>
    <row r="63" ht="13.5" customFormat="1" customHeight="1" s="52">
      <c r="A63" s="52" t="inlineStr">
        <is>
          <t>Alcazren</t>
        </is>
      </c>
      <c r="B63" s="96" t="n"/>
      <c r="C63" s="97" t="n"/>
      <c r="D63" s="152">
        <f>B63+C63</f>
        <v/>
      </c>
      <c r="E63" s="158" t="n"/>
      <c r="F63" s="152">
        <f>D63+E63</f>
        <v/>
      </c>
      <c r="G63" s="158" t="n"/>
      <c r="H63" s="152" t="n"/>
      <c r="I63" s="152" t="n"/>
      <c r="J63" s="152" t="n"/>
      <c r="K63" s="154">
        <f>SUM(G63:J63)</f>
        <v/>
      </c>
      <c r="L63" s="152">
        <f>F63+K63</f>
        <v/>
      </c>
      <c r="M63" s="64" t="n"/>
      <c r="N63" s="53" t="n"/>
      <c r="O63" s="98" t="n"/>
      <c r="P63" s="99" t="n"/>
      <c r="R63" s="55" t="n"/>
    </row>
    <row r="64" ht="13.5" customFormat="1" customHeight="1" s="52">
      <c r="A64" s="55" t="inlineStr">
        <is>
          <t>Tecmasa, Tecnologias del Medioambiente, SA</t>
        </is>
      </c>
      <c r="B64" s="160" t="n">
        <v>0</v>
      </c>
      <c r="C64" s="97" t="n">
        <v>1020000</v>
      </c>
      <c r="D64" s="152">
        <f>B64+C64</f>
        <v/>
      </c>
      <c r="E64" s="158" t="n">
        <v>18615.618</v>
      </c>
      <c r="F64" s="152">
        <f>D64+E64</f>
        <v/>
      </c>
      <c r="G64" s="158" t="n">
        <v>462686.659999998</v>
      </c>
      <c r="H64" s="152" t="n"/>
      <c r="I64" s="152" t="n"/>
      <c r="J64" s="152" t="n"/>
      <c r="K64" s="154">
        <f>SUM(G64:J64)</f>
        <v/>
      </c>
      <c r="L64" s="152">
        <f>F64+K64</f>
        <v/>
      </c>
      <c r="M64" s="64" t="n"/>
      <c r="N64" s="53" t="n"/>
      <c r="O64" s="98" t="n"/>
      <c r="P64" s="99" t="n"/>
      <c r="R64" s="55" t="n"/>
    </row>
    <row r="65" ht="13.5" customFormat="1" customHeight="1" s="52">
      <c r="A65" s="52" t="inlineStr">
        <is>
          <t>Jaen</t>
        </is>
      </c>
      <c r="B65" s="96" t="n"/>
      <c r="C65" s="97" t="n"/>
      <c r="D65" s="152">
        <f>B65+C65</f>
        <v/>
      </c>
      <c r="E65" s="166" t="n"/>
      <c r="F65" s="152">
        <f>D65+E65</f>
        <v/>
      </c>
      <c r="G65" s="166" t="n"/>
      <c r="H65" s="152" t="n"/>
      <c r="I65" s="152" t="n"/>
      <c r="J65" s="152" t="n"/>
      <c r="K65" s="154">
        <f>SUM(G65:J65)</f>
        <v/>
      </c>
      <c r="L65" s="152">
        <f>F65+K65</f>
        <v/>
      </c>
      <c r="M65" s="64" t="n"/>
      <c r="N65" s="53" t="inlineStr">
        <is>
          <t>Jaen</t>
        </is>
      </c>
      <c r="O65" s="98" t="n">
        <v>38032703</v>
      </c>
      <c r="P65" s="99" t="n">
        <v>-3353219</v>
      </c>
      <c r="R65" s="55" t="n"/>
    </row>
    <row r="66" ht="13.5" customFormat="1" customHeight="1" s="52" thickBot="1">
      <c r="A66" s="55" t="inlineStr">
        <is>
          <t>Sonae Client A España</t>
        </is>
      </c>
      <c r="B66" s="96" t="n">
        <v>20908000</v>
      </c>
      <c r="C66" s="97" t="n">
        <v>124635520</v>
      </c>
      <c r="D66" s="152">
        <f>B66+C66</f>
        <v/>
      </c>
      <c r="E66" s="158" t="n">
        <v>8198903.731500002</v>
      </c>
      <c r="F66" s="152">
        <f>D66+E66</f>
        <v/>
      </c>
      <c r="G66" s="158" t="n">
        <v>17720386.1458</v>
      </c>
      <c r="H66" s="152" t="n"/>
      <c r="I66" s="152" t="n"/>
      <c r="J66" s="152" t="n"/>
      <c r="K66" s="154">
        <f>SUM(G66:J66)</f>
        <v/>
      </c>
      <c r="L66" s="152">
        <f>F66+K66</f>
        <v/>
      </c>
      <c r="M66" s="64" t="n"/>
      <c r="N66" s="53" t="n"/>
      <c r="O66" s="98" t="n"/>
      <c r="P66" s="99" t="n"/>
      <c r="R66" s="55" t="n"/>
    </row>
    <row r="67" ht="13.5" customFormat="1" customHeight="1" s="52" thickBot="1">
      <c r="A67" s="69" t="inlineStr">
        <is>
          <t xml:space="preserve">Total Sonae Client A Spain (EUR) </t>
        </is>
      </c>
      <c r="B67" s="162">
        <f>SUM(B43:B66)</f>
        <v/>
      </c>
      <c r="C67" s="162">
        <f>SUM(C43:C66)</f>
        <v/>
      </c>
      <c r="D67" s="162">
        <f>SUM(D43:D66)</f>
        <v/>
      </c>
      <c r="E67" s="162">
        <f>SUM(E43:E66)</f>
        <v/>
      </c>
      <c r="F67" s="162">
        <f>SUM(F43:F66)</f>
        <v/>
      </c>
      <c r="G67" s="162">
        <f>SUM(G43:G66)</f>
        <v/>
      </c>
      <c r="H67" s="162">
        <f>SUM(H43:H66)</f>
        <v/>
      </c>
      <c r="I67" s="162">
        <f>SUM(I43:I66)</f>
        <v/>
      </c>
      <c r="J67" s="162">
        <f>SUM(J43:J66)</f>
        <v/>
      </c>
      <c r="K67" s="162">
        <f>SUM(K43:K66)</f>
        <v/>
      </c>
      <c r="L67" s="162">
        <f>SUM(L43:L66)</f>
        <v/>
      </c>
      <c r="M67" s="70" t="n"/>
      <c r="N67" s="71" t="n"/>
      <c r="O67" s="70" t="n"/>
      <c r="P67" s="74" t="n"/>
      <c r="R67" s="55" t="n"/>
    </row>
    <row r="68" customFormat="1" s="52">
      <c r="A68" s="52" t="inlineStr">
        <is>
          <t xml:space="preserve">SONAE Client A - South Africa </t>
        </is>
      </c>
      <c r="B68" s="152" t="n"/>
      <c r="C68" s="152" t="n"/>
      <c r="D68" s="152" t="n"/>
      <c r="E68" s="152" t="inlineStr">
        <is>
          <t> </t>
        </is>
      </c>
      <c r="F68" s="152" t="n"/>
      <c r="G68" s="152" t="n"/>
      <c r="H68" s="152" t="n"/>
      <c r="I68" s="152" t="n"/>
      <c r="J68" s="152" t="n"/>
      <c r="K68" s="154" t="n"/>
      <c r="L68" s="152" t="n"/>
      <c r="M68" s="64" t="n"/>
      <c r="N68" s="53" t="n"/>
      <c r="O68" s="64" t="n"/>
      <c r="P68" s="73" t="n"/>
      <c r="R68" s="55" t="n"/>
    </row>
    <row r="69" customFormat="1" s="52">
      <c r="A69" s="85" t="inlineStr">
        <is>
          <t xml:space="preserve">White River </t>
        </is>
      </c>
      <c r="B69" s="152" t="n"/>
      <c r="C69" s="152" t="n"/>
      <c r="D69" s="152" t="n"/>
      <c r="E69" s="152" t="n"/>
      <c r="F69" s="152" t="n"/>
      <c r="G69" s="152" t="n"/>
      <c r="H69" s="152" t="n"/>
      <c r="I69" s="152" t="n"/>
      <c r="J69" s="152" t="n"/>
      <c r="K69" s="154" t="n"/>
      <c r="L69" s="152" t="n"/>
      <c r="M69" s="64" t="n"/>
      <c r="N69" s="53" t="inlineStr">
        <is>
          <t xml:space="preserve">White River </t>
        </is>
      </c>
      <c r="O69" s="64" t="n">
        <v>-25379200</v>
      </c>
      <c r="P69" s="73" t="n">
        <v>30984129</v>
      </c>
      <c r="R69" s="55" t="n"/>
    </row>
    <row r="70" customFormat="1" s="52">
      <c r="A70" s="65" t="inlineStr">
        <is>
          <t xml:space="preserve">Sonae Novobord (Pty) Ltd </t>
        </is>
      </c>
      <c r="B70" s="152" t="n">
        <v>241200000</v>
      </c>
      <c r="C70" s="152" t="n">
        <v>2163490000</v>
      </c>
      <c r="D70" s="152">
        <f>B70+C70</f>
        <v/>
      </c>
      <c r="E70" s="158" t="n">
        <v>161515285.8585</v>
      </c>
      <c r="F70" s="152">
        <f>D70+E70</f>
        <v/>
      </c>
      <c r="G70" s="152" t="n">
        <v>431129332.693156</v>
      </c>
      <c r="H70" s="152" t="n"/>
      <c r="I70" s="152" t="n"/>
      <c r="J70" s="152" t="n"/>
      <c r="K70" s="154">
        <f>SUM(G70:J70)</f>
        <v/>
      </c>
      <c r="L70" s="152">
        <f>F70+K70</f>
        <v/>
      </c>
      <c r="M70" s="64" t="n"/>
      <c r="N70" s="53" t="n"/>
      <c r="O70" s="64" t="n"/>
      <c r="P70" s="73" t="n"/>
      <c r="R70" s="55" t="n"/>
    </row>
    <row r="71" customFormat="1" s="52">
      <c r="A71" s="101" t="inlineStr">
        <is>
          <t>Germiston</t>
        </is>
      </c>
      <c r="B71" s="152" t="n"/>
      <c r="C71" s="152" t="n"/>
      <c r="D71" s="152" t="n"/>
      <c r="E71" s="152" t="n"/>
      <c r="F71" s="152" t="n"/>
      <c r="G71" s="152" t="n"/>
      <c r="H71" s="152" t="n"/>
      <c r="I71" s="152" t="n"/>
      <c r="J71" s="152" t="n"/>
      <c r="K71" s="154" t="n"/>
      <c r="L71" s="152" t="n"/>
      <c r="M71" s="64" t="n"/>
      <c r="N71" s="53" t="inlineStr">
        <is>
          <t>Germiston</t>
        </is>
      </c>
      <c r="O71" s="64" t="inlineStr">
        <is>
          <t>-26 218 410</t>
        </is>
      </c>
      <c r="P71" s="73" t="n">
        <v>28157859</v>
      </c>
      <c r="R71" s="55" t="n"/>
    </row>
    <row r="72" customFormat="1" s="52">
      <c r="A72" s="102" t="inlineStr">
        <is>
          <t xml:space="preserve">Sonae Novobord (Pty) Ltd </t>
        </is>
      </c>
      <c r="B72" s="152" t="n"/>
      <c r="C72" s="152" t="n"/>
      <c r="D72" s="152">
        <f>B72+C72</f>
        <v/>
      </c>
      <c r="E72" s="152" t="n">
        <v>0</v>
      </c>
      <c r="F72" s="152">
        <f>D72+E72</f>
        <v/>
      </c>
      <c r="G72" s="152" t="n">
        <v>0</v>
      </c>
      <c r="H72" s="152" t="n"/>
      <c r="I72" s="152" t="n"/>
      <c r="J72" s="152" t="n"/>
      <c r="K72" s="154">
        <f>SUM(G72:J72)</f>
        <v/>
      </c>
      <c r="L72" s="152">
        <f>F72+K72</f>
        <v/>
      </c>
      <c r="M72" s="64" t="n"/>
      <c r="N72" s="53" t="n"/>
      <c r="O72" s="64" t="n"/>
      <c r="P72" s="73" t="n"/>
      <c r="R72" s="55" t="n"/>
    </row>
    <row r="73" customFormat="1" s="52">
      <c r="A73" s="85" t="inlineStr">
        <is>
          <t>Panbult</t>
        </is>
      </c>
      <c r="B73" s="152" t="n"/>
      <c r="C73" s="152" t="n"/>
      <c r="D73" s="152" t="n"/>
      <c r="E73" s="152" t="n"/>
      <c r="F73" s="152" t="n"/>
      <c r="G73" s="152" t="n"/>
      <c r="H73" s="152" t="n"/>
      <c r="I73" s="152" t="n"/>
      <c r="J73" s="152" t="n"/>
      <c r="K73" s="154" t="n"/>
      <c r="L73" s="152" t="n"/>
      <c r="M73" s="64" t="n"/>
      <c r="N73" s="53" t="inlineStr">
        <is>
          <t>Panbult</t>
        </is>
      </c>
      <c r="O73" s="64" t="n">
        <v>-26812659</v>
      </c>
      <c r="P73" s="73" t="n">
        <v>30445330</v>
      </c>
      <c r="R73" s="55" t="n"/>
    </row>
    <row r="74" ht="13.5" customFormat="1" customHeight="1" s="52" thickBot="1">
      <c r="A74" s="65" t="inlineStr">
        <is>
          <t xml:space="preserve">Sonae Novobord (Pty) Ltd </t>
        </is>
      </c>
      <c r="B74" s="152" t="n">
        <v>160335000</v>
      </c>
      <c r="C74" s="152" t="n">
        <v>75000000</v>
      </c>
      <c r="D74" s="152">
        <f>B74+C74</f>
        <v/>
      </c>
      <c r="E74" s="152" t="n"/>
      <c r="F74" s="152">
        <f>D74+E74</f>
        <v/>
      </c>
      <c r="G74" s="152" t="n"/>
      <c r="H74" s="152" t="n"/>
      <c r="I74" s="152" t="n"/>
      <c r="J74" s="152" t="n"/>
      <c r="K74" s="154">
        <f>SUM(G74:J74)</f>
        <v/>
      </c>
      <c r="L74" s="152">
        <f>F74+K74</f>
        <v/>
      </c>
      <c r="M74" s="64" t="n"/>
      <c r="N74" s="53" t="n"/>
      <c r="O74" s="64" t="n"/>
      <c r="P74" s="73" t="n"/>
      <c r="R74" s="55" t="n"/>
    </row>
    <row r="75" ht="13.5" customFormat="1" customHeight="1" s="52" thickBot="1">
      <c r="A75" s="76" t="inlineStr">
        <is>
          <t>Total Sonae Client A South Africa (ZAR)</t>
        </is>
      </c>
      <c r="B75" s="162">
        <f>SUM(B68:B74)</f>
        <v/>
      </c>
      <c r="C75" s="162">
        <f>SUM(C68:C74)</f>
        <v/>
      </c>
      <c r="D75" s="162">
        <f>SUM(D68:D74)</f>
        <v/>
      </c>
      <c r="E75" s="162">
        <f>SUM(E68:E74)</f>
        <v/>
      </c>
      <c r="F75" s="162">
        <f>SUM(F68:F74)</f>
        <v/>
      </c>
      <c r="G75" s="162">
        <f>SUM(G68:G74)</f>
        <v/>
      </c>
      <c r="H75" s="162">
        <f>SUM(H68:H74)</f>
        <v/>
      </c>
      <c r="I75" s="162">
        <f>SUM(I68:I74)</f>
        <v/>
      </c>
      <c r="J75" s="162">
        <f>SUM(J68:J74)</f>
        <v/>
      </c>
      <c r="K75" s="162">
        <f>SUM(K68:K74)</f>
        <v/>
      </c>
      <c r="L75" s="162">
        <f>SUM(L68:L74)</f>
        <v/>
      </c>
      <c r="M75" s="167" t="n"/>
      <c r="N75" s="168" t="n"/>
      <c r="O75" s="167" t="n"/>
      <c r="P75" s="167" t="n"/>
      <c r="R75" s="55" t="n"/>
    </row>
    <row r="76" customFormat="1" s="52">
      <c r="A76" s="101" t="inlineStr">
        <is>
          <t>SONAE Client A - Germany</t>
        </is>
      </c>
      <c r="B76" s="152" t="n"/>
      <c r="C76" s="152" t="n"/>
      <c r="D76" s="152" t="n"/>
      <c r="E76" s="152" t="n"/>
      <c r="F76" s="152" t="n"/>
      <c r="G76" s="152" t="n"/>
      <c r="H76" s="152" t="n"/>
      <c r="I76" s="152" t="n"/>
      <c r="J76" s="152" t="n"/>
      <c r="K76" s="154" t="n"/>
      <c r="L76" s="152" t="n"/>
      <c r="M76" s="53" t="n"/>
      <c r="N76" s="67" t="n"/>
      <c r="O76" s="64" t="n"/>
      <c r="P76" s="73" t="n"/>
      <c r="R76" s="55" t="n"/>
    </row>
    <row r="77" customFormat="1" s="52">
      <c r="A77" s="101" t="inlineStr">
        <is>
          <t>Beeskow</t>
        </is>
      </c>
      <c r="B77" s="152" t="n"/>
      <c r="C77" s="152" t="n"/>
      <c r="D77" s="152">
        <f>B77+C77</f>
        <v/>
      </c>
      <c r="E77" s="152" t="n"/>
      <c r="F77" s="152">
        <f>D77+E77</f>
        <v/>
      </c>
      <c r="G77" s="152" t="n"/>
      <c r="H77" s="152" t="n"/>
      <c r="I77" s="152" t="n"/>
      <c r="J77" s="152" t="n"/>
      <c r="K77" s="154" t="n"/>
      <c r="L77" s="152" t="n"/>
      <c r="M77" s="53" t="n"/>
      <c r="N77" s="67" t="inlineStr">
        <is>
          <t>Beeskow</t>
        </is>
      </c>
      <c r="O77" s="64" t="n">
        <v>52181130</v>
      </c>
      <c r="P77" s="73" t="n">
        <v>14252661</v>
      </c>
      <c r="R77" s="55" t="n"/>
    </row>
    <row r="78" customFormat="1" s="52">
      <c r="A78" s="102" t="inlineStr">
        <is>
          <t>Sonae Client A Beeskow GmbH</t>
        </is>
      </c>
      <c r="B78" s="152" t="n">
        <v>66865000</v>
      </c>
      <c r="C78" s="152" t="n">
        <v>256208000</v>
      </c>
      <c r="D78" s="152">
        <f>B78+C78</f>
        <v/>
      </c>
      <c r="E78" s="158" t="n">
        <v>14093984.70225</v>
      </c>
      <c r="F78" s="152">
        <f>D78+E78</f>
        <v/>
      </c>
      <c r="G78" s="158" t="n">
        <v>45239733.23946767</v>
      </c>
      <c r="H78" s="152" t="n"/>
      <c r="I78" s="152" t="n"/>
      <c r="J78" s="152" t="n"/>
      <c r="K78" s="154">
        <f>G78</f>
        <v/>
      </c>
      <c r="L78" s="152">
        <f>F78+K78</f>
        <v/>
      </c>
      <c r="M78" s="53" t="n"/>
      <c r="N78" s="67" t="n"/>
      <c r="O78" s="64" t="n"/>
      <c r="P78" s="73" t="n"/>
      <c r="R78" s="55" t="n"/>
    </row>
    <row r="79" customFormat="1" s="52">
      <c r="A79" s="101" t="inlineStr">
        <is>
          <t>Kaisersesch</t>
        </is>
      </c>
      <c r="B79" s="152" t="n"/>
      <c r="C79" s="152" t="n"/>
      <c r="D79" s="152">
        <f>B79+C79</f>
        <v/>
      </c>
      <c r="E79" s="166" t="n"/>
      <c r="F79" s="152">
        <f>D79+E79</f>
        <v/>
      </c>
      <c r="G79" s="152" t="n"/>
      <c r="H79" s="152" t="n"/>
      <c r="I79" s="152" t="n"/>
      <c r="J79" s="152" t="n"/>
      <c r="K79" s="154">
        <f>G79</f>
        <v/>
      </c>
      <c r="L79" s="152">
        <f>F79+K79</f>
        <v/>
      </c>
      <c r="M79" s="53" t="n"/>
      <c r="N79" s="67" t="inlineStr">
        <is>
          <t xml:space="preserve">Kaisersesch </t>
        </is>
      </c>
      <c r="O79" s="64" t="n">
        <v>50237057</v>
      </c>
      <c r="P79" s="73" t="n">
        <v>7161073</v>
      </c>
      <c r="R79" s="55" t="n"/>
    </row>
    <row r="80" customFormat="1" s="52">
      <c r="A80" s="102" t="inlineStr">
        <is>
          <t>Sonae Client A Deuthscland GmbH</t>
        </is>
      </c>
      <c r="B80" s="152" t="n">
        <v>0</v>
      </c>
      <c r="C80" s="152" t="n">
        <v>1765000</v>
      </c>
      <c r="D80" s="152">
        <f>B80+C80</f>
        <v/>
      </c>
      <c r="E80" s="158" t="n">
        <v>0</v>
      </c>
      <c r="F80" s="152">
        <f>D80+E80</f>
        <v/>
      </c>
      <c r="G80" s="152" t="n">
        <v>0</v>
      </c>
      <c r="H80" s="152" t="n"/>
      <c r="I80" s="152" t="n"/>
      <c r="J80" s="152" t="n"/>
      <c r="K80" s="154">
        <f>G80</f>
        <v/>
      </c>
      <c r="L80" s="152">
        <f>F80+K80</f>
        <v/>
      </c>
      <c r="M80" s="53" t="n"/>
      <c r="N80" s="67" t="n"/>
      <c r="O80" s="64" t="n"/>
      <c r="P80" s="73" t="n"/>
      <c r="R80" s="55" t="n"/>
    </row>
    <row r="81" customFormat="1" s="52">
      <c r="A81" s="101" t="inlineStr">
        <is>
          <t>Meppen</t>
        </is>
      </c>
      <c r="B81" s="152" t="n"/>
      <c r="C81" s="152" t="n"/>
      <c r="D81" s="152">
        <f>B81+C81</f>
        <v/>
      </c>
      <c r="E81" s="166" t="n"/>
      <c r="F81" s="152">
        <f>D81+E81</f>
        <v/>
      </c>
      <c r="G81" s="152" t="n"/>
      <c r="H81" s="152" t="n"/>
      <c r="I81" s="152" t="n"/>
      <c r="J81" s="152" t="n"/>
      <c r="K81" s="154">
        <f>G81</f>
        <v/>
      </c>
      <c r="L81" s="152">
        <f>F81+K81</f>
        <v/>
      </c>
      <c r="M81" s="53" t="n"/>
      <c r="N81" s="67" t="inlineStr">
        <is>
          <t>Meppen</t>
        </is>
      </c>
      <c r="O81" s="64" t="n">
        <v>52706796</v>
      </c>
      <c r="P81" s="73" t="n">
        <v>7361880</v>
      </c>
      <c r="R81" s="55" t="n"/>
    </row>
    <row r="82" customFormat="1" s="52">
      <c r="A82" s="102" t="inlineStr">
        <is>
          <t>Sonae Client A Deuthscland GmbH</t>
        </is>
      </c>
      <c r="B82" s="152" t="n">
        <v>41533000</v>
      </c>
      <c r="C82" s="97" t="n">
        <v>130359000</v>
      </c>
      <c r="D82" s="152">
        <f>B82+C82</f>
        <v/>
      </c>
      <c r="E82" s="158" t="n">
        <v>9742001.1765</v>
      </c>
      <c r="F82" s="152">
        <f>D82+E82</f>
        <v/>
      </c>
      <c r="G82" s="158" t="n">
        <v>20633940.28004566</v>
      </c>
      <c r="H82" s="152" t="n"/>
      <c r="I82" s="152" t="n"/>
      <c r="J82" s="152" t="n"/>
      <c r="K82" s="154">
        <f>G82</f>
        <v/>
      </c>
      <c r="L82" s="152">
        <f>F82+K82</f>
        <v/>
      </c>
      <c r="M82" s="53" t="n"/>
      <c r="N82" s="67" t="n"/>
      <c r="O82" s="64" t="n"/>
      <c r="P82" s="73" t="n"/>
      <c r="R82" s="55" t="n"/>
    </row>
    <row r="83" customFormat="1" s="52">
      <c r="A83" s="101" t="inlineStr">
        <is>
          <t>Nettgau</t>
        </is>
      </c>
      <c r="B83" s="152" t="n"/>
      <c r="C83" s="152" t="n"/>
      <c r="D83" s="152">
        <f>B83+C83</f>
        <v/>
      </c>
      <c r="E83" s="166" t="n"/>
      <c r="F83" s="152">
        <f>D83+E83</f>
        <v/>
      </c>
      <c r="G83" s="152" t="n"/>
      <c r="H83" s="152" t="n"/>
      <c r="I83" s="152" t="n"/>
      <c r="J83" s="152" t="n"/>
      <c r="K83" s="154">
        <f>G83</f>
        <v/>
      </c>
      <c r="L83" s="152">
        <f>F83+K83</f>
        <v/>
      </c>
      <c r="M83" s="53" t="n"/>
      <c r="N83" s="67" t="inlineStr">
        <is>
          <t>Nettgau</t>
        </is>
      </c>
      <c r="O83" s="64" t="n">
        <v>52655692</v>
      </c>
      <c r="P83" s="73" t="n">
        <v>10906894</v>
      </c>
      <c r="R83" s="55" t="n"/>
    </row>
    <row r="84" customFormat="1" s="52">
      <c r="A84" s="102" t="inlineStr">
        <is>
          <t>Sonae Client A Deuthscland GmbH</t>
        </is>
      </c>
      <c r="B84" s="152" t="n">
        <v>68290000</v>
      </c>
      <c r="C84" s="97" t="n">
        <v>270402236</v>
      </c>
      <c r="D84" s="152">
        <f>B84+C84</f>
        <v/>
      </c>
      <c r="E84" s="158" t="n">
        <v>17616327.7653</v>
      </c>
      <c r="F84" s="152">
        <f>D84+E84</f>
        <v/>
      </c>
      <c r="G84" s="158" t="n">
        <v>60162886.67399392</v>
      </c>
      <c r="H84" s="152" t="n"/>
      <c r="I84" s="152" t="n"/>
      <c r="J84" s="152" t="n"/>
      <c r="K84" s="154">
        <f>G84</f>
        <v/>
      </c>
      <c r="L84" s="152">
        <f>F84+K84</f>
        <v/>
      </c>
      <c r="M84" s="53" t="n"/>
      <c r="N84" s="67" t="n"/>
      <c r="O84" s="64" t="n"/>
      <c r="P84" s="73" t="n"/>
      <c r="R84" s="55" t="n"/>
    </row>
    <row r="85" customFormat="1" s="52">
      <c r="A85" s="101" t="inlineStr">
        <is>
          <t>Impaper</t>
        </is>
      </c>
      <c r="B85" s="152" t="n"/>
      <c r="C85" s="152" t="n"/>
      <c r="D85" s="152">
        <f>B85+C85</f>
        <v/>
      </c>
      <c r="E85" s="166" t="n"/>
      <c r="F85" s="152">
        <f>D85+E85</f>
        <v/>
      </c>
      <c r="G85" s="152" t="n"/>
      <c r="H85" s="152" t="n"/>
      <c r="I85" s="152" t="n"/>
      <c r="J85" s="152" t="n"/>
      <c r="K85" s="154">
        <f>G85</f>
        <v/>
      </c>
      <c r="L85" s="152">
        <f>F85+K85</f>
        <v/>
      </c>
      <c r="M85" s="53" t="n"/>
      <c r="N85" s="67" t="inlineStr">
        <is>
          <t xml:space="preserve">Kaisersesch </t>
        </is>
      </c>
      <c r="O85" s="64" t="n">
        <v>50237057</v>
      </c>
      <c r="P85" s="73" t="n">
        <v>7161073</v>
      </c>
      <c r="R85" s="55" t="n"/>
    </row>
    <row r="86" customFormat="1" s="52">
      <c r="A86" s="102" t="inlineStr">
        <is>
          <t>Impaper Europe GmbH</t>
        </is>
      </c>
      <c r="B86" s="152" t="n">
        <v>13995300</v>
      </c>
      <c r="C86" s="152" t="n">
        <v>34698400</v>
      </c>
      <c r="D86" s="152">
        <f>B86+C86</f>
        <v/>
      </c>
      <c r="E86" s="158" t="n">
        <v>5973526.80975</v>
      </c>
      <c r="F86" s="152">
        <f>D86+E86</f>
        <v/>
      </c>
      <c r="G86" s="158" t="n">
        <v>6251044.861007266</v>
      </c>
      <c r="H86" s="152" t="n"/>
      <c r="I86" s="152" t="n"/>
      <c r="J86" s="152" t="n"/>
      <c r="K86" s="154">
        <f>G86</f>
        <v/>
      </c>
      <c r="L86" s="152">
        <f>F86+K86</f>
        <v/>
      </c>
      <c r="M86" s="53" t="n"/>
      <c r="N86" s="67" t="n"/>
      <c r="O86" s="64" t="n"/>
      <c r="P86" s="73" t="n"/>
      <c r="R86" s="55" t="n"/>
    </row>
    <row r="87" customFormat="1" s="52">
      <c r="A87" s="101" t="inlineStr">
        <is>
          <t>Wittingen - Wh</t>
        </is>
      </c>
      <c r="B87" s="152" t="n"/>
      <c r="C87" s="152" t="n"/>
      <c r="D87" s="152">
        <f>B87+C87</f>
        <v/>
      </c>
      <c r="E87" s="158" t="n"/>
      <c r="F87" s="152">
        <f>D87+E87</f>
        <v/>
      </c>
      <c r="G87" s="152" t="n"/>
      <c r="H87" s="152" t="n"/>
      <c r="I87" s="152" t="n"/>
      <c r="J87" s="152" t="n"/>
      <c r="K87" s="154">
        <f>G87</f>
        <v/>
      </c>
      <c r="L87" s="152">
        <f>F87+K87</f>
        <v/>
      </c>
      <c r="M87" s="53" t="n"/>
      <c r="N87" s="67" t="n"/>
      <c r="O87" s="64" t="n"/>
      <c r="P87" s="73" t="n"/>
      <c r="R87" s="55" t="n"/>
    </row>
    <row r="88" customFormat="1" s="52">
      <c r="A88" s="102" t="inlineStr">
        <is>
          <t>Sonae Client A Deuthscland GmbH</t>
        </is>
      </c>
      <c r="B88" s="152" t="n">
        <v>0</v>
      </c>
      <c r="C88" s="152" t="n">
        <v>0</v>
      </c>
      <c r="D88" s="152">
        <f>B88+C88</f>
        <v/>
      </c>
      <c r="E88" s="158" t="n">
        <v>0</v>
      </c>
      <c r="F88" s="152">
        <f>D88+E88</f>
        <v/>
      </c>
      <c r="G88" s="152" t="n">
        <v>0</v>
      </c>
      <c r="H88" s="152" t="n"/>
      <c r="I88" s="152" t="n"/>
      <c r="J88" s="152" t="n"/>
      <c r="K88" s="154">
        <f>G88</f>
        <v/>
      </c>
      <c r="L88" s="152">
        <f>F88+K88</f>
        <v/>
      </c>
      <c r="M88" s="53" t="n"/>
      <c r="N88" s="67" t="inlineStr">
        <is>
          <t>Wittingen</t>
        </is>
      </c>
      <c r="O88" s="64" t="n">
        <v>52725020</v>
      </c>
      <c r="P88" s="73" t="n">
        <v>10665540</v>
      </c>
      <c r="R88" s="55" t="n"/>
    </row>
    <row r="89" customFormat="1" s="52">
      <c r="A89" s="101" t="inlineStr">
        <is>
          <t>Hildesheim - Wh</t>
        </is>
      </c>
      <c r="B89" s="152" t="n"/>
      <c r="C89" s="152" t="n"/>
      <c r="D89" s="152">
        <f>B89+C89</f>
        <v/>
      </c>
      <c r="E89" s="158" t="n"/>
      <c r="F89" s="152">
        <f>D89+E89</f>
        <v/>
      </c>
      <c r="G89" s="152" t="n"/>
      <c r="H89" s="152" t="n"/>
      <c r="I89" s="152" t="n"/>
      <c r="J89" s="152" t="n"/>
      <c r="K89" s="154">
        <f>G89</f>
        <v/>
      </c>
      <c r="L89" s="152">
        <f>F89+K89</f>
        <v/>
      </c>
      <c r="M89" s="53" t="n"/>
      <c r="N89" s="67" t="n"/>
      <c r="O89" s="64" t="n"/>
      <c r="P89" s="73" t="n"/>
      <c r="R89" s="55" t="n"/>
    </row>
    <row r="90" customFormat="1" s="52">
      <c r="A90" s="102" t="inlineStr">
        <is>
          <t>Sonae Client A Deuthscland GmbH</t>
        </is>
      </c>
      <c r="B90" s="152" t="n">
        <v>0</v>
      </c>
      <c r="C90" s="152" t="n">
        <v>0</v>
      </c>
      <c r="D90" s="152">
        <f>B90+C90</f>
        <v/>
      </c>
      <c r="E90" s="158" t="n">
        <v>590595.82095</v>
      </c>
      <c r="F90" s="152">
        <f>D90+E90</f>
        <v/>
      </c>
      <c r="G90" s="152" t="n">
        <v>0</v>
      </c>
      <c r="H90" s="152" t="n"/>
      <c r="I90" s="152" t="n"/>
      <c r="J90" s="152" t="n"/>
      <c r="K90" s="154">
        <f>G90</f>
        <v/>
      </c>
      <c r="L90" s="152">
        <f>F90+K90</f>
        <v/>
      </c>
      <c r="M90" s="53" t="n"/>
      <c r="N90" s="67" t="inlineStr">
        <is>
          <t>Hildesheim</t>
        </is>
      </c>
      <c r="O90" s="64" t="n">
        <v>52149849</v>
      </c>
      <c r="P90" s="73" t="n">
        <v>9929980</v>
      </c>
      <c r="R90" s="55" t="n"/>
    </row>
    <row r="91" customFormat="1" s="52">
      <c r="A91" s="101" t="inlineStr">
        <is>
          <t>Horn</t>
        </is>
      </c>
      <c r="B91" s="152" t="n"/>
      <c r="C91" s="152" t="n"/>
      <c r="D91" s="152">
        <f>B91+C91</f>
        <v/>
      </c>
      <c r="E91" s="166" t="n"/>
      <c r="F91" s="152">
        <f>D91+E91</f>
        <v/>
      </c>
      <c r="G91" s="152" t="n"/>
      <c r="H91" s="152" t="n"/>
      <c r="I91" s="152" t="n"/>
      <c r="J91" s="152" t="n"/>
      <c r="K91" s="154">
        <f>G91</f>
        <v/>
      </c>
      <c r="L91" s="152">
        <f>F91+K91</f>
        <v/>
      </c>
      <c r="M91" s="53" t="n"/>
      <c r="N91" s="67" t="inlineStr">
        <is>
          <t>Horn</t>
        </is>
      </c>
      <c r="O91" s="64" t="n">
        <v>51883716</v>
      </c>
      <c r="P91" s="73" t="n">
        <v>8958040</v>
      </c>
      <c r="R91" s="55" t="n"/>
    </row>
    <row r="92" customFormat="1" s="52">
      <c r="A92" s="102" t="inlineStr">
        <is>
          <t xml:space="preserve">GHP Glunz Holzwerkstoffproduktions- GmbH </t>
        </is>
      </c>
      <c r="B92" s="152" t="n"/>
      <c r="C92" s="152" t="n"/>
      <c r="D92" s="152">
        <f>B92+C92</f>
        <v/>
      </c>
      <c r="E92" s="158" t="n">
        <v>0</v>
      </c>
      <c r="F92" s="152">
        <f>D92+E92</f>
        <v/>
      </c>
      <c r="G92" s="152" t="n">
        <v>0</v>
      </c>
      <c r="H92" s="152" t="n"/>
      <c r="I92" s="152" t="n"/>
      <c r="J92" s="152" t="n"/>
      <c r="K92" s="154">
        <f>G92</f>
        <v/>
      </c>
      <c r="L92" s="152">
        <f>F92+K92</f>
        <v/>
      </c>
      <c r="M92" s="53" t="n"/>
      <c r="N92" s="67" t="n"/>
      <c r="O92" s="64" t="n"/>
      <c r="P92" s="73" t="n"/>
      <c r="R92" s="55" t="n"/>
    </row>
    <row r="93" ht="13.5" customFormat="1" customHeight="1" s="52" thickBot="1">
      <c r="A93" s="102" t="inlineStr">
        <is>
          <t>Sonae Client A Deuthscland GmbH</t>
        </is>
      </c>
      <c r="B93" s="152" t="n">
        <v>0</v>
      </c>
      <c r="C93" s="152" t="n">
        <v>0</v>
      </c>
      <c r="D93" s="152">
        <f>B93+C93</f>
        <v/>
      </c>
      <c r="E93" s="169" t="n">
        <v>0</v>
      </c>
      <c r="F93" s="152">
        <f>D93+E93</f>
        <v/>
      </c>
      <c r="G93" s="152" t="n">
        <v>0</v>
      </c>
      <c r="H93" s="152" t="n"/>
      <c r="I93" s="152" t="n"/>
      <c r="J93" s="152" t="n"/>
      <c r="K93" s="154">
        <f>G93</f>
        <v/>
      </c>
      <c r="L93" s="152">
        <f>F93+K93</f>
        <v/>
      </c>
      <c r="M93" s="53" t="n"/>
      <c r="N93" s="67" t="n"/>
      <c r="O93" s="64" t="n"/>
      <c r="P93" s="73" t="n"/>
      <c r="R93" s="55" t="n"/>
    </row>
    <row r="94" ht="13.5" customFormat="1" customHeight="1" s="52" thickBot="1">
      <c r="A94" s="76" t="inlineStr">
        <is>
          <t>Total Sonae Client A Germany (EUR)</t>
        </is>
      </c>
      <c r="B94" s="162">
        <f>SUM(B76:B93)</f>
        <v/>
      </c>
      <c r="C94" s="162">
        <f>SUM(C76:C93)</f>
        <v/>
      </c>
      <c r="D94" s="162">
        <f>SUM(D76:D93)</f>
        <v/>
      </c>
      <c r="E94" s="162">
        <f>SUM(E76:E93)</f>
        <v/>
      </c>
      <c r="F94" s="162">
        <f>SUM(F76:F93)</f>
        <v/>
      </c>
      <c r="G94" s="162">
        <f>SUM(G76:G93)</f>
        <v/>
      </c>
      <c r="H94" s="162">
        <f>SUM(H76:H93)</f>
        <v/>
      </c>
      <c r="I94" s="162">
        <f>SUM(I76:I93)</f>
        <v/>
      </c>
      <c r="J94" s="162">
        <f>SUM(J76:J93)</f>
        <v/>
      </c>
      <c r="K94" s="162">
        <f>SUM(K76:K93)</f>
        <v/>
      </c>
      <c r="L94" s="162">
        <f>SUM(L76:L93)</f>
        <v/>
      </c>
      <c r="M94" s="167">
        <f>SUM(M76:M93)</f>
        <v/>
      </c>
      <c r="N94" s="72" t="n"/>
      <c r="O94" s="70" t="n"/>
      <c r="P94" s="74" t="n"/>
      <c r="R94" s="55" t="n"/>
    </row>
    <row r="95">
      <c r="A95" s="52" t="n"/>
      <c r="B95" s="170" t="n"/>
      <c r="C95" s="170" t="n"/>
      <c r="D95" s="170" t="n"/>
      <c r="E95" s="170" t="n"/>
      <c r="F95" s="170" t="n"/>
      <c r="G95" s="170" t="n"/>
      <c r="H95" s="170" t="n"/>
      <c r="I95" s="170" t="n"/>
      <c r="J95" s="170" t="n"/>
      <c r="K95" s="170" t="n"/>
      <c r="L95" s="170" t="n"/>
      <c r="M95" s="126" t="n"/>
      <c r="N95" s="126" t="n"/>
      <c r="O95" s="126" t="n"/>
      <c r="P95" s="126" t="n"/>
    </row>
    <row r="96"/>
    <row r="97" ht="16.5" customFormat="1" customHeight="1" s="52" thickBot="1">
      <c r="A97" s="130" t="inlineStr">
        <is>
          <t xml:space="preserve">SUMMARY (USD figures and rates of exchange are provided for reference only) </t>
        </is>
      </c>
      <c r="M97" s="107" t="n"/>
      <c r="N97" s="126" t="n"/>
      <c r="O97" s="126" t="n"/>
      <c r="P97" s="126" t="n"/>
    </row>
    <row r="98" ht="13.5" customFormat="1" customHeight="1" s="52" thickBot="1">
      <c r="A98" s="76" t="inlineStr">
        <is>
          <t xml:space="preserve">TOTAL SONAE Client A PORTUGAL (USD) </t>
        </is>
      </c>
      <c r="B98" s="167">
        <f>B40*$B$106</f>
        <v/>
      </c>
      <c r="C98" s="167">
        <f>C40*$B$106</f>
        <v/>
      </c>
      <c r="D98" s="167">
        <f>D40*$B$106</f>
        <v/>
      </c>
      <c r="E98" s="167">
        <f>E40*$B$106</f>
        <v/>
      </c>
      <c r="F98" s="167">
        <f>F40*$B$106</f>
        <v/>
      </c>
      <c r="G98" s="167">
        <f>G40*$B$106</f>
        <v/>
      </c>
      <c r="H98" s="167">
        <f>H40*$B$106</f>
        <v/>
      </c>
      <c r="I98" s="167">
        <f>I40*$B$106</f>
        <v/>
      </c>
      <c r="J98" s="167">
        <f>J40*$B$106</f>
        <v/>
      </c>
      <c r="K98" s="167">
        <f>K40*$B$106</f>
        <v/>
      </c>
      <c r="L98" s="167">
        <f>L40*$B$106</f>
        <v/>
      </c>
      <c r="M98" s="107">
        <f>L98/L$102</f>
        <v/>
      </c>
      <c r="N98" s="126" t="n"/>
      <c r="O98" s="171" t="n"/>
      <c r="P98" s="126" t="n"/>
    </row>
    <row r="99" ht="13.5" customFormat="1" customHeight="1" s="52" thickBot="1">
      <c r="A99" s="76" t="inlineStr">
        <is>
          <t xml:space="preserve">TOAL SONAE Client A SPAIN (USD) </t>
        </is>
      </c>
      <c r="B99" s="167">
        <f>B67*$B$106</f>
        <v/>
      </c>
      <c r="C99" s="167">
        <f>C67*$B$106</f>
        <v/>
      </c>
      <c r="D99" s="167">
        <f>D67*$B$106</f>
        <v/>
      </c>
      <c r="E99" s="167">
        <f>E67*$B$106</f>
        <v/>
      </c>
      <c r="F99" s="167">
        <f>F67*$B$106</f>
        <v/>
      </c>
      <c r="G99" s="167">
        <f>G67*$B$106</f>
        <v/>
      </c>
      <c r="H99" s="167">
        <f>H67*$B$106</f>
        <v/>
      </c>
      <c r="I99" s="167">
        <f>I67*$B$106</f>
        <v/>
      </c>
      <c r="J99" s="167">
        <f>J67*$B$106</f>
        <v/>
      </c>
      <c r="K99" s="167">
        <f>K67*$B$106</f>
        <v/>
      </c>
      <c r="L99" s="167">
        <f>L67*$B$106</f>
        <v/>
      </c>
      <c r="M99" s="107">
        <f>L99/L$102</f>
        <v/>
      </c>
      <c r="N99" s="126" t="n"/>
      <c r="O99" s="171" t="n"/>
      <c r="P99" s="126" t="n"/>
    </row>
    <row r="100" ht="13.5" customFormat="1" customHeight="1" s="52" thickBot="1">
      <c r="A100" s="76" t="inlineStr">
        <is>
          <t xml:space="preserve">TOTAL SONAE Client A SOUTH AFRICA (USD) </t>
        </is>
      </c>
      <c r="B100" s="167">
        <f>B75*$B$107</f>
        <v/>
      </c>
      <c r="C100" s="167">
        <f>C75*$B$107</f>
        <v/>
      </c>
      <c r="D100" s="167">
        <f>D75*$B$107</f>
        <v/>
      </c>
      <c r="E100" s="167">
        <f>E75*$B$107</f>
        <v/>
      </c>
      <c r="F100" s="167">
        <f>F75*$B$107</f>
        <v/>
      </c>
      <c r="G100" s="167">
        <f>G75*$B$107</f>
        <v/>
      </c>
      <c r="H100" s="167">
        <f>H75*$B$107</f>
        <v/>
      </c>
      <c r="I100" s="167">
        <f>I75*$B$107</f>
        <v/>
      </c>
      <c r="J100" s="167">
        <f>J75*$B$107</f>
        <v/>
      </c>
      <c r="K100" s="167">
        <f>K75*$B$107</f>
        <v/>
      </c>
      <c r="L100" s="167">
        <f>L75*$B$107</f>
        <v/>
      </c>
      <c r="M100" s="107">
        <f>L100/L$102</f>
        <v/>
      </c>
      <c r="N100" s="126" t="n"/>
      <c r="O100" s="171" t="n"/>
      <c r="P100" s="126" t="n"/>
    </row>
    <row r="101" ht="13.5" customFormat="1" customHeight="1" s="52" thickBot="1">
      <c r="A101" s="76" t="inlineStr">
        <is>
          <t xml:space="preserve">TOTAL SONAE Client A GERMANY (USD) </t>
        </is>
      </c>
      <c r="B101" s="167">
        <f>B94*$B$106</f>
        <v/>
      </c>
      <c r="C101" s="167">
        <f>C94*$B$106</f>
        <v/>
      </c>
      <c r="D101" s="167">
        <f>D94*$B$106</f>
        <v/>
      </c>
      <c r="E101" s="167">
        <f>E94*$B$106</f>
        <v/>
      </c>
      <c r="F101" s="167">
        <f>F94*$B$106</f>
        <v/>
      </c>
      <c r="G101" s="167">
        <f>G94*$B$106</f>
        <v/>
      </c>
      <c r="H101" s="167">
        <f>H94*$B$106</f>
        <v/>
      </c>
      <c r="I101" s="167">
        <f>I94*$B$106</f>
        <v/>
      </c>
      <c r="J101" s="167">
        <f>J94*$B$106</f>
        <v/>
      </c>
      <c r="K101" s="167">
        <f>K94*$B$106</f>
        <v/>
      </c>
      <c r="L101" s="167">
        <f>L94*$B$106</f>
        <v/>
      </c>
      <c r="M101" s="107">
        <f>L101/L$102</f>
        <v/>
      </c>
      <c r="N101" s="126" t="n"/>
      <c r="O101" s="171" t="n"/>
      <c r="P101" s="126" t="n"/>
    </row>
    <row r="102" ht="13.5" customFormat="1" customHeight="1" s="52" thickBot="1">
      <c r="A102" s="109" t="inlineStr">
        <is>
          <t>Total</t>
        </is>
      </c>
      <c r="B102" s="172">
        <f>SUM(B98:B101)</f>
        <v/>
      </c>
      <c r="C102" s="172">
        <f>SUM(C98:C101)</f>
        <v/>
      </c>
      <c r="D102" s="172">
        <f>SUM(D98:D101)</f>
        <v/>
      </c>
      <c r="E102" s="172">
        <f>SUM(E98:E101)</f>
        <v/>
      </c>
      <c r="F102" s="172">
        <f>SUM(F98:F101)</f>
        <v/>
      </c>
      <c r="G102" s="172">
        <f>SUM(G98:G101)</f>
        <v/>
      </c>
      <c r="H102" s="172">
        <f>SUM(H98:H101)</f>
        <v/>
      </c>
      <c r="I102" s="172">
        <f>SUM(I98:I101)</f>
        <v/>
      </c>
      <c r="J102" s="172">
        <f>SUM(J98:J101)</f>
        <v/>
      </c>
      <c r="K102" s="172">
        <f>SUM(K98:K101)</f>
        <v/>
      </c>
      <c r="L102" s="172">
        <f>SUM(L98:L101)</f>
        <v/>
      </c>
      <c r="M102" s="173" t="n"/>
      <c r="N102" s="126" t="n"/>
      <c r="O102" s="171" t="n"/>
      <c r="P102" s="126" t="n"/>
    </row>
    <row r="103" ht="13.5" customHeight="1" s="133" thickBot="1">
      <c r="D103" s="174" t="n"/>
    </row>
    <row r="104" ht="13.5" customHeight="1" s="133" thickBot="1">
      <c r="A104" s="55" t="inlineStr">
        <is>
          <t xml:space="preserve">Average Exchange Rate LTM </t>
        </is>
      </c>
      <c r="B104" s="70" t="inlineStr">
        <is>
          <t>año actual</t>
        </is>
      </c>
      <c r="C104" s="70" t="inlineStr">
        <is>
          <t>año anterior</t>
        </is>
      </c>
      <c r="M104" s="174" t="n"/>
    </row>
    <row r="105" ht="13.5" customHeight="1" s="133" thickBot="1">
      <c r="A105" s="113">
        <f>"ROE USD/BRL =  "&amp;TEXT(B105,"0,00")</f>
        <v/>
      </c>
      <c r="B105" s="175">
        <f>1/5.26</f>
        <v/>
      </c>
      <c r="C105" s="175" t="n">
        <v>0.19</v>
      </c>
      <c r="K105" s="70" t="n"/>
      <c r="L105" s="176" t="n"/>
      <c r="M105" s="148" t="n"/>
    </row>
    <row r="106" ht="13.5" customHeight="1" s="133" thickBot="1">
      <c r="A106" s="113">
        <f>"ROE USD/EUR =  "&amp;TEXT(B106,"0,00")</f>
        <v/>
      </c>
      <c r="B106" s="175" t="n">
        <v>1.006</v>
      </c>
      <c r="C106" s="175" t="n">
        <v>1.18</v>
      </c>
      <c r="D106" s="174" t="n"/>
      <c r="K106" s="70" t="inlineStr">
        <is>
          <t>Sonae Client A</t>
        </is>
      </c>
      <c r="L106" s="176">
        <f>SUM(L98:L101)</f>
        <v/>
      </c>
      <c r="M106" s="116" t="n"/>
    </row>
    <row r="107" ht="13.5" customHeight="1" s="133" thickBot="1">
      <c r="A107" s="113">
        <f>"ROE ZAR/USD =  "&amp;TEXT(B107,"0,00")</f>
        <v/>
      </c>
      <c r="B107" s="177" t="n">
        <v>0.056</v>
      </c>
      <c r="C107" s="177" t="n">
        <v>0.067</v>
      </c>
      <c r="H107" s="174" t="n"/>
    </row>
  </sheetData>
  <mergeCells count="5">
    <mergeCell ref="A5:P5"/>
    <mergeCell ref="A97:L97"/>
    <mergeCell ref="A3:P3"/>
    <mergeCell ref="O4:P4"/>
    <mergeCell ref="A2:P2"/>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dc:creator>
  <dcterms:created xsi:type="dcterms:W3CDTF">2022-11-02T12:24:16Z</dcterms:created>
  <dcterms:modified xsi:type="dcterms:W3CDTF">2026-10-03T09:10:41Z</dcterms:modified>
  <cp:lastModifiedBy>anon</cp:lastModifiedBy>
</cp:coreProperties>
</file>